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ần mua" sheetId="1" state="visible" r:id="rId1"/>
    <sheet xmlns:r="http://schemas.openxmlformats.org/officeDocument/2006/relationships" name="Kiểm tra đủ" sheetId="2" state="visible" r:id="rId2"/>
    <sheet xmlns:r="http://schemas.openxmlformats.org/officeDocument/2006/relationships" name="Tổng hợp" sheetId="3" state="visible" r:id="rId3"/>
    <sheet xmlns:r="http://schemas.openxmlformats.org/officeDocument/2006/relationships" name="Ghi chú" sheetId="4" state="visible" r:id="rId4"/>
  </sheets>
  <definedNames>
    <definedName name="_xlnm._FilterDatabase" localSheetId="0" hidden="1">'Cần mua'!$A$5:$N$46</definedName>
    <definedName name="_xlnm.Print_Titles" localSheetId="0">'Cần mua'!$5:$5</definedName>
  </definedNames>
  <calcPr calcId="124519" fullCalcOnLoad="1"/>
</workbook>
</file>

<file path=xl/styles.xml><?xml version="1.0" encoding="utf-8"?>
<styleSheet xmlns="http://schemas.openxmlformats.org/spreadsheetml/2006/main">
  <numFmts count="1">
    <numFmt numFmtId="164" formatCode="#,##0;-#,##0;&quot;-&quot;"/>
  </numFmts>
  <fonts count="11">
    <font>
      <name val="Calibri"/>
      <family val="2"/>
      <color theme="1"/>
      <sz val="11"/>
      <scheme val="minor"/>
    </font>
    <font>
      <name val="Arial"/>
      <b val="1"/>
      <sz val="14"/>
    </font>
    <font>
      <name val="Arial"/>
      <i val="1"/>
      <sz val="10"/>
    </font>
    <font>
      <name val="Arial"/>
      <sz val="10"/>
    </font>
    <font>
      <name val="Arial"/>
      <b val="1"/>
      <color rgb="00FFFFFF"/>
    </font>
    <font>
      <name val="Arial"/>
      <color rgb="000000FF"/>
      <sz val="10"/>
    </font>
    <font>
      <name val="Arial"/>
      <b val="1"/>
      <sz val="10"/>
    </font>
    <font>
      <name val="Arial"/>
      <b val="1"/>
    </font>
    <font>
      <name val="Arial"/>
    </font>
    <font>
      <name val="Arial"/>
      <color rgb="00008000"/>
    </font>
    <font>
      <name val="Arial"/>
      <b val="1"/>
      <sz val="12"/>
    </font>
  </fonts>
  <fills count="9">
    <fill>
      <patternFill/>
    </fill>
    <fill>
      <patternFill patternType="gray125"/>
    </fill>
    <fill>
      <patternFill patternType="solid">
        <fgColor rgb="001F3864"/>
      </patternFill>
    </fill>
    <fill>
      <patternFill patternType="solid">
        <fgColor rgb="00FFF2CC"/>
      </patternFill>
    </fill>
    <fill>
      <patternFill patternType="solid">
        <fgColor rgb="00F8CBAD"/>
      </patternFill>
    </fill>
    <fill>
      <patternFill patternType="solid">
        <fgColor rgb="00E2EFDA"/>
      </patternFill>
    </fill>
    <fill>
      <patternFill patternType="solid">
        <fgColor rgb="00EDEDED"/>
      </patternFill>
    </fill>
    <fill>
      <patternFill patternType="solid">
        <fgColor rgb="00D9E1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vertical="top"/>
    </xf>
    <xf numFmtId="0" fontId="3" fillId="4" borderId="1" applyAlignment="1" pivotButton="0" quotePrefix="0" xfId="0">
      <alignment vertical="top"/>
    </xf>
    <xf numFmtId="0" fontId="6" fillId="0" borderId="1" applyAlignment="1" pivotButton="0" quotePrefix="0" xfId="0">
      <alignment vertical="top" wrapText="1"/>
    </xf>
    <xf numFmtId="0" fontId="3" fillId="0" borderId="1" applyAlignment="1" pivotButton="0" quotePrefix="0" xfId="0">
      <alignment vertical="top" wrapText="1"/>
    </xf>
    <xf numFmtId="0" fontId="5" fillId="3" borderId="1" applyAlignment="1" pivotButton="0" quotePrefix="0" xfId="0">
      <alignment horizontal="center" vertical="top"/>
    </xf>
    <xf numFmtId="164" fontId="5" fillId="3" borderId="1" applyAlignment="1" pivotButton="0" quotePrefix="0" xfId="0">
      <alignment vertical="top"/>
    </xf>
    <xf numFmtId="164" fontId="3" fillId="0" borderId="1" applyAlignment="1" pivotButton="0" quotePrefix="0" xfId="0">
      <alignment vertical="top"/>
    </xf>
    <xf numFmtId="0" fontId="3" fillId="3" borderId="1" applyAlignment="1" pivotButton="0" quotePrefix="0" xfId="0">
      <alignment horizontal="center" vertical="top"/>
    </xf>
    <xf numFmtId="0" fontId="3" fillId="5" borderId="1" applyAlignment="1" pivotButton="0" quotePrefix="0" xfId="0">
      <alignment vertical="top"/>
    </xf>
    <xf numFmtId="0" fontId="3" fillId="6" borderId="1" applyAlignment="1" pivotButton="0" quotePrefix="0" xfId="0">
      <alignment vertical="top"/>
    </xf>
    <xf numFmtId="0" fontId="0" fillId="7" borderId="1" pivotButton="0" quotePrefix="0" xfId="0"/>
    <xf numFmtId="0" fontId="7" fillId="7" borderId="1" pivotButton="0" quotePrefix="0" xfId="0"/>
    <xf numFmtId="164" fontId="7" fillId="7" borderId="1" applyAlignment="1" pivotButton="0" quotePrefix="0" xfId="0">
      <alignment horizontal="right"/>
    </xf>
    <xf numFmtId="0" fontId="3" fillId="5" borderId="1" applyAlignment="1" pivotButton="0" quotePrefix="0" xfId="0">
      <alignment vertical="top" wrapText="1"/>
    </xf>
    <xf numFmtId="0" fontId="3" fillId="8" borderId="1" applyAlignment="1" pivotButton="0" quotePrefix="0" xfId="0">
      <alignment vertical="top" wrapText="1"/>
    </xf>
    <xf numFmtId="0" fontId="2" fillId="0" borderId="0" pivotButton="0" quotePrefix="0" xfId="0"/>
    <xf numFmtId="0" fontId="8" fillId="4" borderId="1" pivotButton="0" quotePrefix="0" xfId="0"/>
    <xf numFmtId="0" fontId="9" fillId="0" borderId="1" applyAlignment="1" pivotButton="0" quotePrefix="0" xfId="0">
      <alignment horizontal="center"/>
    </xf>
    <xf numFmtId="164" fontId="9" fillId="0" borderId="1" pivotButton="0" quotePrefix="0" xfId="0"/>
    <xf numFmtId="0" fontId="8" fillId="5" borderId="1" pivotButton="0" quotePrefix="0" xfId="0"/>
    <xf numFmtId="0" fontId="8" fillId="6" borderId="1" pivotButton="0" quotePrefix="0" xfId="0"/>
    <xf numFmtId="0" fontId="7" fillId="7" borderId="1" applyAlignment="1" pivotButton="0" quotePrefix="0" xfId="0">
      <alignment horizontal="center"/>
    </xf>
    <xf numFmtId="164" fontId="7" fillId="7" borderId="1" pivotButton="0" quotePrefix="0" xfId="0"/>
    <xf numFmtId="0" fontId="8" fillId="0" borderId="1" pivotButton="0" quotePrefix="0" xfId="0"/>
    <xf numFmtId="0" fontId="10" fillId="0" borderId="0" pivotButton="0" quotePrefix="0" xfId="0"/>
  </cellXfs>
  <cellStyles count="1">
    <cellStyle name="Normal" xfId="0" builtinId="0" hidden="0"/>
  </cellStyles>
  <dxfs count="5">
    <dxf>
      <font>
        <name val="Arial"/>
        <b val="1"/>
        <color rgb="00C00000"/>
      </font>
    </dxf>
    <dxf>
      <font>
        <name val="Arial"/>
        <color rgb="00C55A11"/>
      </font>
    </dxf>
    <dxf>
      <font>
        <name val="Arial"/>
        <color rgb="00548235"/>
      </font>
    </dxf>
    <dxf>
      <font>
        <name val="Arial"/>
        <b val="1"/>
        <color rgb="001F4E79"/>
      </font>
      <fill>
        <patternFill patternType="solid">
          <fgColor rgb="00DDEBF7"/>
        </patternFill>
      </fill>
    </dxf>
    <dxf>
      <font>
        <name val="Arial"/>
        <strike val="1"/>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47"/>
  <sheetViews>
    <sheetView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0" customWidth="1" min="2" max="2"/>
    <col width="32" customWidth="1" min="3" max="3"/>
    <col width="52" customWidth="1" min="4" max="4"/>
    <col width="6" customWidth="1" min="5" max="5"/>
    <col width="8" customWidth="1" min="6" max="6"/>
    <col width="12" customWidth="1" min="7" max="7"/>
    <col width="12" customWidth="1" min="8" max="8"/>
    <col width="13" customWidth="1" min="9" max="9"/>
    <col width="13" customWidth="1" min="10" max="10"/>
    <col width="17" customWidth="1" min="11" max="11"/>
    <col width="24" customWidth="1" min="12" max="12"/>
    <col width="22" customWidth="1" min="13" max="13"/>
    <col width="11" customWidth="1" min="14" max="14"/>
  </cols>
  <sheetData>
    <row r="1">
      <c r="A1" s="1" t="inlineStr">
        <is>
          <t>EdgeFlow AI (đội 31µF): thiết bị còn thiếu cần mua</t>
        </is>
      </c>
    </row>
    <row r="2" ht="40" customHeight="1">
      <c r="A2" s="2" t="inlineStr">
        <is>
          <t>Cập nhật 18/10/2026: sa bàn đổi sang 2 tấm 600 × 600 mm (chở xe máy), file in ở in_sa_ban/. 21 dòng đầu đã lên đơn trên icdayroi.com 17/10 (trong giỏ, chưa thanh toán, 730.900đ chưa gồm ship), ĐVT/SL/giá khớp đúng giỏ. Demo đưa video vào Pi thay camera, trụ chỉ treo đèn. Các dòng "Chưa đặt": đơn giá là ước tính, phải xin báo giá.</t>
        </is>
      </c>
    </row>
    <row r="3">
      <c r="A3" s="3" t="inlineStr">
        <is>
          <t>Ô nền vàng do đội điền: số lượng cần mua, đơn giá (khi có báo giá mới), trạng thái đặt hàng. Chữ xanh dương = số nhập tay; chữ đen = công thức.</t>
        </is>
      </c>
    </row>
    <row r="5" ht="32" customHeight="1">
      <c r="A5" s="4" t="inlineStr">
        <is>
          <t>STT</t>
        </is>
      </c>
      <c r="B5" s="4" t="inlineStr">
        <is>
          <t>Ưu tiên</t>
        </is>
      </c>
      <c r="C5" s="4" t="inlineStr">
        <is>
          <t>Thiết bị</t>
        </is>
      </c>
      <c r="D5" s="4" t="inlineStr">
        <is>
          <t>Thông số và lưu ý khi mua</t>
        </is>
      </c>
      <c r="E5" s="4" t="inlineStr">
        <is>
          <t>ĐVT</t>
        </is>
      </c>
      <c r="F5" s="4" t="inlineStr">
        <is>
          <t>SL cần mua</t>
        </is>
      </c>
      <c r="G5" s="4" t="inlineStr">
        <is>
          <t>Đơn giá thấp (đ)</t>
        </is>
      </c>
      <c r="H5" s="4" t="inlineStr">
        <is>
          <t>Đơn giá cao (đ)</t>
        </is>
      </c>
      <c r="I5" s="4" t="inlineStr">
        <is>
          <t>Thành tiền thấp (đ)</t>
        </is>
      </c>
      <c r="J5" s="4" t="inlineStr">
        <is>
          <t>Thành tiền cao (đ)</t>
        </is>
      </c>
      <c r="K5" s="4" t="inlineStr">
        <is>
          <t>Tình trạng hiện biết</t>
        </is>
      </c>
      <c r="L5" s="4" t="inlineStr">
        <is>
          <t>Nơi mua gợi ý</t>
        </is>
      </c>
      <c r="M5" s="4" t="inlineStr">
        <is>
          <t>Nguồn giá</t>
        </is>
      </c>
      <c r="N5" s="4" t="inlineStr">
        <is>
          <t>Đặt hàng</t>
        </is>
      </c>
    </row>
    <row r="6">
      <c r="A6" s="5" t="n">
        <v>1</v>
      </c>
      <c r="B6" s="6" t="inlineStr">
        <is>
          <t>Bắt buộc</t>
        </is>
      </c>
      <c r="C6" s="7" t="inlineStr">
        <is>
          <t>Mạch LED đèn giao thông R/Y/G</t>
        </is>
      </c>
      <c r="D6" s="8" t="inlineStr">
        <is>
          <t>2 nút × 4 mặt = 8 cụm, +2 dự phòng. Loại có sẵn trở, 4 chân đực R-Y-G-GND.</t>
        </is>
      </c>
      <c r="E6" s="5" t="inlineStr">
        <is>
          <t>cái</t>
        </is>
      </c>
      <c r="F6" s="9" t="n">
        <v>10</v>
      </c>
      <c r="G6" s="10" t="n">
        <v>10000</v>
      </c>
      <c r="H6" s="10" t="n">
        <v>10000</v>
      </c>
      <c r="I6" s="11">
        <f>F6*G6</f>
        <v/>
      </c>
      <c r="J6" s="11">
        <f>F6*H6</f>
        <v/>
      </c>
      <c r="K6" s="8" t="inlineStr">
        <is>
          <t>Trong giỏ icdayroi.com, chưa thanh toán</t>
        </is>
      </c>
      <c r="L6" s="8" t="inlineStr">
        <is>
          <t>icdayroi.com: Mạch led giao thông 5V</t>
        </is>
      </c>
      <c r="M6" s="8" t="inlineStr">
        <is>
          <t>Giá web icdayroi.com 17/10</t>
        </is>
      </c>
      <c r="N6" s="12" t="inlineStr">
        <is>
          <t>Đã nhận</t>
        </is>
      </c>
    </row>
    <row r="7">
      <c r="A7" s="5" t="n">
        <v>2</v>
      </c>
      <c r="B7" s="6" t="inlineStr">
        <is>
          <t>Bắt buộc</t>
        </is>
      </c>
      <c r="C7" s="7" t="inlineStr">
        <is>
          <t>Breadboard 830 lỗ</t>
        </is>
      </c>
      <c r="D7" s="8" t="inlineStr">
        <is>
          <t>Mỗi nút cắm ESP32 bắc cầu qua 2 tấm: cần 4, đã có 1 (đơn Bảo Anh).</t>
        </is>
      </c>
      <c r="E7" s="5" t="inlineStr">
        <is>
          <t>tấm</t>
        </is>
      </c>
      <c r="F7" s="9" t="n">
        <v>3</v>
      </c>
      <c r="G7" s="10" t="n">
        <v>35000</v>
      </c>
      <c r="H7" s="10" t="n">
        <v>35000</v>
      </c>
      <c r="I7" s="11">
        <f>F7*G7</f>
        <v/>
      </c>
      <c r="J7" s="11">
        <f>F7*H7</f>
        <v/>
      </c>
      <c r="K7" s="8" t="inlineStr">
        <is>
          <t>Trong giỏ icdayroi.com, chưa thanh toán</t>
        </is>
      </c>
      <c r="L7" s="8" t="inlineStr">
        <is>
          <t>icdayroi.com: Đế test board, bread board MB-102 loại tốt</t>
        </is>
      </c>
      <c r="M7" s="8" t="inlineStr">
        <is>
          <t>Giá web icdayroi.com 17/10</t>
        </is>
      </c>
      <c r="N7" s="12" t="inlineStr">
        <is>
          <t>Đã nhận</t>
        </is>
      </c>
    </row>
    <row r="8">
      <c r="A8" s="5" t="n">
        <v>3</v>
      </c>
      <c r="B8" s="6" t="inlineStr">
        <is>
          <t>Bắt buộc</t>
        </is>
      </c>
      <c r="C8" s="7" t="inlineStr">
        <is>
          <t>Logic analyzer USB 8 kênh 24 MHz</t>
        </is>
      </c>
      <c r="D8" s="8" t="inlineStr">
        <is>
          <t>Bằng chứng timing độc lập (PulseView): CH0–5 vào GPIO 23/22/21/19/18/5, CH6 vào GPIO 4. Cáp kèm theo là đầu USB-A: cắm qua hub (dòng Hub, chưa mua).</t>
        </is>
      </c>
      <c r="E8" s="5" t="inlineStr">
        <is>
          <t>cái</t>
        </is>
      </c>
      <c r="F8" s="9" t="n">
        <v>1</v>
      </c>
      <c r="G8" s="10" t="n">
        <v>189000</v>
      </c>
      <c r="H8" s="10" t="n">
        <v>189000</v>
      </c>
      <c r="I8" s="11">
        <f>F8*G8</f>
        <v/>
      </c>
      <c r="J8" s="11">
        <f>F8*H8</f>
        <v/>
      </c>
      <c r="K8" s="8" t="inlineStr">
        <is>
          <t>Trong giỏ icdayroi.com, chưa thanh toán</t>
        </is>
      </c>
      <c r="L8" s="8" t="inlineStr">
        <is>
          <t>icdayroi.com: Bộ đo xung USB Saleae Logic Analyzer 8 kênh 24Mhz</t>
        </is>
      </c>
      <c r="M8" s="8" t="inlineStr">
        <is>
          <t>Giá web icdayroi.com 17/10</t>
        </is>
      </c>
      <c r="N8" s="12" t="inlineStr">
        <is>
          <t>Đã nhận</t>
        </is>
      </c>
    </row>
    <row r="9">
      <c r="A9" s="5" t="n">
        <v>4</v>
      </c>
      <c r="B9" s="6" t="inlineStr">
        <is>
          <t>Bắt buộc</t>
        </is>
      </c>
      <c r="C9" s="7" t="inlineStr">
        <is>
          <t>Cáp micro-USB truyền dữ liệu (đầu USB-A)</t>
        </is>
      </c>
      <c r="D9" s="8" t="inlineStr">
        <is>
          <t>Trang bán ghi rõ vừa truyền dữ liệu vừa cấp nguồn, dài 1 m. Nạp firmware, log TRACE cho 2–3 ESP32.</t>
        </is>
      </c>
      <c r="E9" s="5" t="inlineStr">
        <is>
          <t>sợi</t>
        </is>
      </c>
      <c r="F9" s="9" t="n">
        <v>3</v>
      </c>
      <c r="G9" s="10" t="n">
        <v>20000</v>
      </c>
      <c r="H9" s="10" t="n">
        <v>20000</v>
      </c>
      <c r="I9" s="11">
        <f>F9*G9</f>
        <v/>
      </c>
      <c r="J9" s="11">
        <f>F9*H9</f>
        <v/>
      </c>
      <c r="K9" s="8" t="inlineStr">
        <is>
          <t>Trong giỏ icdayroi.com, chưa thanh toán</t>
        </is>
      </c>
      <c r="L9" s="8" t="inlineStr">
        <is>
          <t>icdayroi.com: Dây cáp micro USB 1M</t>
        </is>
      </c>
      <c r="M9" s="8" t="inlineStr">
        <is>
          <t>Giá web icdayroi.com 17/10</t>
        </is>
      </c>
      <c r="N9" s="12" t="inlineStr">
        <is>
          <t>Đã nhận</t>
        </is>
      </c>
    </row>
    <row r="10">
      <c r="A10" s="5" t="n">
        <v>5</v>
      </c>
      <c r="B10" s="6" t="inlineStr">
        <is>
          <t>Bắt buộc</t>
        </is>
      </c>
      <c r="C10" s="7" t="inlineStr">
        <is>
          <t>Jack DC cái 5.5 × 2.1 mm ra domino</t>
        </is>
      </c>
      <c r="D10" s="8" t="inlineStr">
        <is>
          <t>X1 trên bản vẽ A.2, loại có cầu đấu vít, cắm adapter 5 V/4 A (đã có). 1 dùng + 1 dự phòng.</t>
        </is>
      </c>
      <c r="E10" s="5" t="inlineStr">
        <is>
          <t>cái</t>
        </is>
      </c>
      <c r="F10" s="9" t="n">
        <v>2</v>
      </c>
      <c r="G10" s="10" t="n">
        <v>3000</v>
      </c>
      <c r="H10" s="10" t="n">
        <v>3000</v>
      </c>
      <c r="I10" s="11">
        <f>F10*G10</f>
        <v/>
      </c>
      <c r="J10" s="11">
        <f>F10*H10</f>
        <v/>
      </c>
      <c r="K10" s="8" t="inlineStr">
        <is>
          <t>Trong giỏ icdayroi.com, chưa thanh toán</t>
        </is>
      </c>
      <c r="L10" s="8" t="inlineStr">
        <is>
          <t>icdayroi.com: Jack DC 5.5X2.1 DC Female</t>
        </is>
      </c>
      <c r="M10" s="8" t="inlineStr">
        <is>
          <t>Giá web icdayroi.com 17/10</t>
        </is>
      </c>
      <c r="N10" s="12" t="inlineStr">
        <is>
          <t>Đã nhận</t>
        </is>
      </c>
    </row>
    <row r="11">
      <c r="A11" s="5" t="n">
        <v>6</v>
      </c>
      <c r="B11" s="6" t="inlineStr">
        <is>
          <t>Bắt buộc</t>
        </is>
      </c>
      <c r="C11" s="7" t="inlineStr">
        <is>
          <t>Cầu chì tự phục hồi PTC</t>
        </is>
      </c>
      <c r="D11" s="8" t="inlineStr">
        <is>
          <t>F1 trên bản vẽ A.2. RXEF075: dòng giữ 0,75 A (trong khoảng 0,5–1 A của thiết kế), chân cắm xuyên lỗ. 1 dùng, còn lại dự phòng.</t>
        </is>
      </c>
      <c r="E11" s="5" t="inlineStr">
        <is>
          <t>cái</t>
        </is>
      </c>
      <c r="F11" s="9" t="n">
        <v>4</v>
      </c>
      <c r="G11" s="10" t="n">
        <v>1000</v>
      </c>
      <c r="H11" s="10" t="n">
        <v>1000</v>
      </c>
      <c r="I11" s="11">
        <f>F11*G11</f>
        <v/>
      </c>
      <c r="J11" s="11">
        <f>F11*H11</f>
        <v/>
      </c>
      <c r="K11" s="8" t="inlineStr">
        <is>
          <t>Trong giỏ icdayroi.com, chưa thanh toán</t>
        </is>
      </c>
      <c r="L11" s="8" t="inlineStr">
        <is>
          <t>icdayroi.com: Cầu chì tự phục hồi RXEF075 72V 0.75A</t>
        </is>
      </c>
      <c r="M11" s="8" t="inlineStr">
        <is>
          <t>Giá web icdayroi.com 17/10</t>
        </is>
      </c>
      <c r="N11" s="12" t="inlineStr">
        <is>
          <t>Đã nhận</t>
        </is>
      </c>
    </row>
    <row r="12">
      <c r="A12" s="5" t="n">
        <v>7</v>
      </c>
      <c r="B12" s="6" t="inlineStr">
        <is>
          <t>Bắt buộc</t>
        </is>
      </c>
      <c r="C12" s="7" t="inlineStr">
        <is>
          <t>Diode Schottky 1N5819</t>
        </is>
      </c>
      <c r="D12" s="8" t="inlineStr">
        <is>
          <t>D1 trên bản vẽ A.2, chống ngược cực. Loại chân cắm, gói 10 con (cần 5).</t>
        </is>
      </c>
      <c r="E12" s="5" t="inlineStr">
        <is>
          <t>gói 10</t>
        </is>
      </c>
      <c r="F12" s="9" t="n">
        <v>1</v>
      </c>
      <c r="G12" s="10" t="n">
        <v>4000</v>
      </c>
      <c r="H12" s="10" t="n">
        <v>4000</v>
      </c>
      <c r="I12" s="11">
        <f>F12*G12</f>
        <v/>
      </c>
      <c r="J12" s="11">
        <f>F12*H12</f>
        <v/>
      </c>
      <c r="K12" s="8" t="inlineStr">
        <is>
          <t>Trong giỏ icdayroi.com, chưa thanh toán</t>
        </is>
      </c>
      <c r="L12" s="8" t="inlineStr">
        <is>
          <t>icdayroi.com: Diode schottky 1N5819 1A 40V (gói 10 con)</t>
        </is>
      </c>
      <c r="M12" s="8" t="inlineStr">
        <is>
          <t>Giá web icdayroi.com 17/10</t>
        </is>
      </c>
      <c r="N12" s="12" t="inlineStr">
        <is>
          <t>Đã nhận</t>
        </is>
      </c>
    </row>
    <row r="13">
      <c r="A13" s="5" t="n">
        <v>8</v>
      </c>
      <c r="B13" s="6" t="inlineStr">
        <is>
          <t>Bắt buộc</t>
        </is>
      </c>
      <c r="C13" s="7" t="inlineStr">
        <is>
          <t>Domino 3 cực bước 5 mm</t>
        </is>
      </c>
      <c r="D13" s="8" t="inlineStr">
        <is>
          <t>X2 trên bản vẽ A.2: chia 5 V và GND tới VIN của 2 ESP32. KF301 chân cắm được breadboard. 1 dùng + 1 dự phòng.</t>
        </is>
      </c>
      <c r="E13" s="5" t="inlineStr">
        <is>
          <t>cái</t>
        </is>
      </c>
      <c r="F13" s="9" t="n">
        <v>2</v>
      </c>
      <c r="G13" s="10" t="n">
        <v>1200</v>
      </c>
      <c r="H13" s="10" t="n">
        <v>1200</v>
      </c>
      <c r="I13" s="11">
        <f>F13*G13</f>
        <v/>
      </c>
      <c r="J13" s="11">
        <f>F13*H13</f>
        <v/>
      </c>
      <c r="K13" s="8" t="inlineStr">
        <is>
          <t>Trong giỏ icdayroi.com, chưa thanh toán</t>
        </is>
      </c>
      <c r="L13" s="8" t="inlineStr">
        <is>
          <t>icdayroi.com: Domino KF301-3P-5.0MM</t>
        </is>
      </c>
      <c r="M13" s="8" t="inlineStr">
        <is>
          <t>Giá web icdayroi.com 17/10</t>
        </is>
      </c>
      <c r="N13" s="12" t="inlineStr">
        <is>
          <t>Đã nhận</t>
        </is>
      </c>
    </row>
    <row r="14">
      <c r="A14" s="5" t="n">
        <v>9</v>
      </c>
      <c r="B14" s="6" t="inlineStr">
        <is>
          <t>Bắt buộc</t>
        </is>
      </c>
      <c r="C14" s="7" t="inlineStr">
        <is>
          <t>Nút nhấn tự giữ (safe-stop)</t>
        </is>
      </c>
      <c r="D14" s="8" t="inlineStr">
        <is>
          <t>GPIO 4 ↔ GND. Loại 8 × 8 mm 6 chân cắm thẳng breadboard; đo bằng đồng hồ để chọn cặp chân thường mở. Muốn nút to cho demo: PBS-11A đỏ có dây sẵn, 7.000đ cùng shop. 2 dùng + 1 dự phòng.</t>
        </is>
      </c>
      <c r="E14" s="5" t="inlineStr">
        <is>
          <t>cái</t>
        </is>
      </c>
      <c r="F14" s="9" t="n">
        <v>3</v>
      </c>
      <c r="G14" s="10" t="n">
        <v>1500</v>
      </c>
      <c r="H14" s="10" t="n">
        <v>1500</v>
      </c>
      <c r="I14" s="11">
        <f>F14*G14</f>
        <v/>
      </c>
      <c r="J14" s="11">
        <f>F14*H14</f>
        <v/>
      </c>
      <c r="K14" s="8" t="inlineStr">
        <is>
          <t>Trong giỏ icdayroi.com, chưa thanh toán</t>
        </is>
      </c>
      <c r="L14" s="8" t="inlineStr">
        <is>
          <t>icdayroi.com: Nút nhấn 6 Chân 8x8MM ( Nhấn Giữ)</t>
        </is>
      </c>
      <c r="M14" s="8" t="inlineStr">
        <is>
          <t>Giá web icdayroi.com 17/10</t>
        </is>
      </c>
      <c r="N14" s="12" t="inlineStr">
        <is>
          <t>Đã nhận</t>
        </is>
      </c>
    </row>
    <row r="15">
      <c r="A15" s="5" t="n">
        <v>10</v>
      </c>
      <c r="B15" s="6" t="inlineStr">
        <is>
          <t>Bắt buộc</t>
        </is>
      </c>
      <c r="C15" s="7" t="inlineStr">
        <is>
          <t>Ống co nhiệt 3 mm</t>
        </is>
      </c>
      <c r="D15" s="8" t="inlineStr">
        <is>
          <t>Bọc mối hàn rẽ nhánh ở đầu cần đèn (mỗi lõi hàn ra 2 dây dupont cái, A.4).</t>
        </is>
      </c>
      <c r="E15" s="5" t="inlineStr">
        <is>
          <t>m</t>
        </is>
      </c>
      <c r="F15" s="9" t="n">
        <v>2</v>
      </c>
      <c r="G15" s="10" t="n">
        <v>2500</v>
      </c>
      <c r="H15" s="10" t="n">
        <v>2500</v>
      </c>
      <c r="I15" s="11">
        <f>F15*G15</f>
        <v/>
      </c>
      <c r="J15" s="11">
        <f>F15*H15</f>
        <v/>
      </c>
      <c r="K15" s="8" t="inlineStr">
        <is>
          <t>Trong giỏ icdayroi.com, chưa thanh toán</t>
        </is>
      </c>
      <c r="L15" s="8" t="inlineStr">
        <is>
          <t>icdayroi.com: Ống co nhiệt 3MM (mét)</t>
        </is>
      </c>
      <c r="M15" s="8" t="inlineStr">
        <is>
          <t>Giá web icdayroi.com 17/10</t>
        </is>
      </c>
      <c r="N15" s="12" t="inlineStr">
        <is>
          <t>Đã nhận</t>
        </is>
      </c>
    </row>
    <row r="16">
      <c r="A16" s="5" t="n">
        <v>11</v>
      </c>
      <c r="B16" s="6" t="inlineStr">
        <is>
          <t>Bắt buộc</t>
        </is>
      </c>
      <c r="C16" s="7" t="inlineStr">
        <is>
          <t>Dây rút 4 × 150 mm</t>
        </is>
      </c>
      <c r="D16" s="8" t="inlineStr">
        <is>
          <t>Bó cáp theo trụ; 150 mm đủ quấn quanh nhôm 20 × 20 kèm cáp.</t>
        </is>
      </c>
      <c r="E16" s="5" t="inlineStr">
        <is>
          <t>túi</t>
        </is>
      </c>
      <c r="F16" s="9" t="n">
        <v>1</v>
      </c>
      <c r="G16" s="10" t="n">
        <v>10000</v>
      </c>
      <c r="H16" s="10" t="n">
        <v>10000</v>
      </c>
      <c r="I16" s="11">
        <f>F16*G16</f>
        <v/>
      </c>
      <c r="J16" s="11">
        <f>F16*H16</f>
        <v/>
      </c>
      <c r="K16" s="8" t="inlineStr">
        <is>
          <t>Trong giỏ icdayroi.com, chưa thanh toán</t>
        </is>
      </c>
      <c r="L16" s="8" t="inlineStr">
        <is>
          <t>icdayroi.com: Dây rút 4x150mm (túi)</t>
        </is>
      </c>
      <c r="M16" s="8" t="inlineStr">
        <is>
          <t>Giá web icdayroi.com 17/10</t>
        </is>
      </c>
      <c r="N16" s="12" t="inlineStr">
        <is>
          <t>Đã nhận</t>
        </is>
      </c>
    </row>
    <row r="17">
      <c r="A17" s="5" t="n">
        <v>12</v>
      </c>
      <c r="B17" s="6" t="inlineStr">
        <is>
          <t>Bắt buộc</t>
        </is>
      </c>
      <c r="C17" s="7" t="inlineStr">
        <is>
          <t>Nhôm định hình 20 × 20, dài 20 cm</t>
        </is>
      </c>
      <c r="D17" s="8" t="inlineStr">
        <is>
          <t>2 thân trụ + 2 cần đèn. Không cần cưa: cần đèn ở độ cao 160 mm (bo_tri.py) nên trụ 20 cm là đủ; cần dài 141 mm theo thiết kế thì trượt ke dọc rãnh, phần thừa để phía sau trụ.</t>
        </is>
      </c>
      <c r="E17" s="5" t="inlineStr">
        <is>
          <t>thanh</t>
        </is>
      </c>
      <c r="F17" s="9" t="n">
        <v>4</v>
      </c>
      <c r="G17" s="10" t="n">
        <v>26000</v>
      </c>
      <c r="H17" s="10" t="n">
        <v>26000</v>
      </c>
      <c r="I17" s="11">
        <f>F17*G17</f>
        <v/>
      </c>
      <c r="J17" s="11">
        <f>F17*H17</f>
        <v/>
      </c>
      <c r="K17" s="8" t="inlineStr">
        <is>
          <t>Trong giỏ icdayroi.com, chưa thanh toán</t>
        </is>
      </c>
      <c r="L17" s="8" t="inlineStr">
        <is>
          <t>icdayroi.com: Nhôm định hình 20x20 dài 20cm</t>
        </is>
      </c>
      <c r="M17" s="8" t="inlineStr">
        <is>
          <t>Giá web icdayroi.com 17/10</t>
        </is>
      </c>
      <c r="N17" s="12" t="inlineStr">
        <is>
          <t>Đã nhận</t>
        </is>
      </c>
    </row>
    <row r="18">
      <c r="A18" s="5" t="n">
        <v>13</v>
      </c>
      <c r="B18" s="6" t="inlineStr">
        <is>
          <t>Bắt buộc</t>
        </is>
      </c>
      <c r="C18" s="7" t="inlineStr">
        <is>
          <t>Nhôm định hình 20 × 20, dài 10 cm</t>
        </is>
      </c>
      <c r="D18" s="8" t="inlineStr">
        <is>
          <t>Lõi cụm đèn 4 mặt, 1 mỗi trụ (thiết kế 40 mm): treo dưới cần bằng ke, dán module sao cho tâm cụm ở ~112 mm như thiết kế, hoặc cưa ngắn.</t>
        </is>
      </c>
      <c r="E18" s="5" t="inlineStr">
        <is>
          <t>thanh</t>
        </is>
      </c>
      <c r="F18" s="9" t="n">
        <v>2</v>
      </c>
      <c r="G18" s="10" t="n">
        <v>13000</v>
      </c>
      <c r="H18" s="10" t="n">
        <v>13000</v>
      </c>
      <c r="I18" s="11">
        <f>F18*G18</f>
        <v/>
      </c>
      <c r="J18" s="11">
        <f>F18*H18</f>
        <v/>
      </c>
      <c r="K18" s="8" t="inlineStr">
        <is>
          <t>Trong giỏ icdayroi.com, chưa thanh toán</t>
        </is>
      </c>
      <c r="L18" s="8" t="inlineStr">
        <is>
          <t>icdayroi.com: Nhôm định hình 20x20 dài 10cm</t>
        </is>
      </c>
      <c r="M18" s="8" t="inlineStr">
        <is>
          <t>Giá web icdayroi.com 17/10</t>
        </is>
      </c>
      <c r="N18" s="12" t="inlineStr">
        <is>
          <t>Đã nhận</t>
        </is>
      </c>
    </row>
    <row r="19">
      <c r="A19" s="5" t="n">
        <v>14</v>
      </c>
      <c r="B19" s="6" t="inlineStr">
        <is>
          <t>Bắt buộc</t>
        </is>
      </c>
      <c r="C19" s="7" t="inlineStr">
        <is>
          <t>Ke góc vuông cho nhôm 20 × 20</t>
        </is>
      </c>
      <c r="D19" s="8" t="inlineStr">
        <is>
          <t>Mỗi trụ: 1 ke gắn cần đèn, 2 ke bắt chân trụ xuống sa bàn, 1 ke treo lõi cụm đèn = 4; 2 trụ = 8, +2 dự phòng.</t>
        </is>
      </c>
      <c r="E19" s="5" t="inlineStr">
        <is>
          <t>cái</t>
        </is>
      </c>
      <c r="F19" s="9" t="n">
        <v>10</v>
      </c>
      <c r="G19" s="10" t="n">
        <v>5000</v>
      </c>
      <c r="H19" s="10" t="n">
        <v>5000</v>
      </c>
      <c r="I19" s="11">
        <f>F19*G19</f>
        <v/>
      </c>
      <c r="J19" s="11">
        <f>F19*H19</f>
        <v/>
      </c>
      <c r="K19" s="8" t="inlineStr">
        <is>
          <t>Trong giỏ icdayroi.com, chưa thanh toán</t>
        </is>
      </c>
      <c r="L19" s="8" t="inlineStr">
        <is>
          <t>icdayroi.com: Ke góc vuông cho nhôm 20x20</t>
        </is>
      </c>
      <c r="M19" s="8" t="inlineStr">
        <is>
          <t>Giá web icdayroi.com 17/10</t>
        </is>
      </c>
      <c r="N19" s="12" t="inlineStr">
        <is>
          <t>Đã nhận</t>
        </is>
      </c>
    </row>
    <row r="20">
      <c r="A20" s="5" t="n">
        <v>15</v>
      </c>
      <c r="B20" s="6" t="inlineStr">
        <is>
          <t>Bắt buộc</t>
        </is>
      </c>
      <c r="C20" s="7" t="inlineStr">
        <is>
          <t>Con trượt T M5 (ốc chữ T)</t>
        </is>
      </c>
      <c r="D20" s="8" t="inlineStr">
        <is>
          <t>Mỗi trụ ~6 chỗ bắt vào rãnh nhôm; 2 trụ = 12, +3 dự phòng.</t>
        </is>
      </c>
      <c r="E20" s="5" t="inlineStr">
        <is>
          <t>cái</t>
        </is>
      </c>
      <c r="F20" s="9" t="n">
        <v>15</v>
      </c>
      <c r="G20" s="10" t="n">
        <v>1000</v>
      </c>
      <c r="H20" s="10" t="n">
        <v>1000</v>
      </c>
      <c r="I20" s="11">
        <f>F20*G20</f>
        <v/>
      </c>
      <c r="J20" s="11">
        <f>F20*H20</f>
        <v/>
      </c>
      <c r="K20" s="8" t="inlineStr">
        <is>
          <t>Trong giỏ icdayroi.com, chưa thanh toán</t>
        </is>
      </c>
      <c r="L20" s="8" t="inlineStr">
        <is>
          <t>icdayroi.com: Ốc chữ T M5 nhôm 20x20</t>
        </is>
      </c>
      <c r="M20" s="8" t="inlineStr">
        <is>
          <t>Giá web icdayroi.com 17/10</t>
        </is>
      </c>
      <c r="N20" s="12" t="inlineStr">
        <is>
          <t>Đã nhận</t>
        </is>
      </c>
    </row>
    <row r="21">
      <c r="A21" s="5" t="n">
        <v>16</v>
      </c>
      <c r="B21" s="6" t="inlineStr">
        <is>
          <t>Bắt buộc</t>
        </is>
      </c>
      <c r="C21" s="7" t="inlineStr">
        <is>
          <t>Ốc M5 dài 10 mm</t>
        </is>
      </c>
      <c r="D21" s="8" t="inlineStr">
        <is>
          <t>Bắt ke vào con trượt T. 10 mm vừa rãnh 20 × 20; ốc dài hơn có thể chạm đáy rãnh.</t>
        </is>
      </c>
      <c r="E21" s="5" t="inlineStr">
        <is>
          <t>gói 10</t>
        </is>
      </c>
      <c r="F21" s="9" t="n">
        <v>2</v>
      </c>
      <c r="G21" s="10" t="n">
        <v>4000</v>
      </c>
      <c r="H21" s="10" t="n">
        <v>4000</v>
      </c>
      <c r="I21" s="11">
        <f>F21*G21</f>
        <v/>
      </c>
      <c r="J21" s="11">
        <f>F21*H21</f>
        <v/>
      </c>
      <c r="K21" s="8" t="inlineStr">
        <is>
          <t>Trong giỏ icdayroi.com, chưa thanh toán</t>
        </is>
      </c>
      <c r="L21" s="8" t="inlineStr">
        <is>
          <t>icdayroi.com: Ốc M5 dài 10MM (gói 10 cái)</t>
        </is>
      </c>
      <c r="M21" s="8" t="inlineStr">
        <is>
          <t>Giá web icdayroi.com 17/10</t>
        </is>
      </c>
      <c r="N21" s="12" t="inlineStr">
        <is>
          <t>Đã nhận</t>
        </is>
      </c>
    </row>
    <row r="22">
      <c r="A22" s="5" t="n">
        <v>17</v>
      </c>
      <c r="B22" s="6" t="inlineStr">
        <is>
          <t>Bắt buộc</t>
        </is>
      </c>
      <c r="C22" s="7" t="inlineStr">
        <is>
          <t>Ốc lục giác M5 dài 20 mm</t>
        </is>
      </c>
      <c r="D22" s="8" t="inlineStr">
        <is>
          <t>4 ốc bắt ke chân trụ xuyên mặt foam 5 mm, siết tán + long đền ở mặt dưới; 1 dự phòng.</t>
        </is>
      </c>
      <c r="E22" s="5" t="inlineStr">
        <is>
          <t>cái</t>
        </is>
      </c>
      <c r="F22" s="9" t="n">
        <v>5</v>
      </c>
      <c r="G22" s="10" t="n">
        <v>1100</v>
      </c>
      <c r="H22" s="10" t="n">
        <v>1100</v>
      </c>
      <c r="I22" s="11">
        <f>F22*G22</f>
        <v/>
      </c>
      <c r="J22" s="11">
        <f>F22*H22</f>
        <v/>
      </c>
      <c r="K22" s="8" t="inlineStr">
        <is>
          <t>Trong giỏ icdayroi.com, chưa thanh toán</t>
        </is>
      </c>
      <c r="L22" s="8" t="inlineStr">
        <is>
          <t>icdayroi.com: Ốc lục giác M5 20MM</t>
        </is>
      </c>
      <c r="M22" s="8" t="inlineStr">
        <is>
          <t>Giá web icdayroi.com 17/10</t>
        </is>
      </c>
      <c r="N22" s="12" t="inlineStr">
        <is>
          <t>Đã nhận</t>
        </is>
      </c>
    </row>
    <row r="23">
      <c r="A23" s="5" t="n">
        <v>18</v>
      </c>
      <c r="B23" s="6" t="inlineStr">
        <is>
          <t>Bắt buộc</t>
        </is>
      </c>
      <c r="C23" s="7" t="inlineStr">
        <is>
          <t>Tán M5</t>
        </is>
      </c>
      <c r="D23" s="8" t="inlineStr">
        <is>
          <t>Siết ốc chân trụ ở mặt dưới sa bàn.</t>
        </is>
      </c>
      <c r="E23" s="5" t="inlineStr">
        <is>
          <t>gói 10</t>
        </is>
      </c>
      <c r="F23" s="9" t="n">
        <v>1</v>
      </c>
      <c r="G23" s="10" t="n">
        <v>5000</v>
      </c>
      <c r="H23" s="10" t="n">
        <v>5000</v>
      </c>
      <c r="I23" s="11">
        <f>F23*G23</f>
        <v/>
      </c>
      <c r="J23" s="11">
        <f>F23*H23</f>
        <v/>
      </c>
      <c r="K23" s="8" t="inlineStr">
        <is>
          <t>Trong giỏ icdayroi.com, chưa thanh toán</t>
        </is>
      </c>
      <c r="L23" s="8" t="inlineStr">
        <is>
          <t>icdayroi.com: Tán M5 (gói 10 con)</t>
        </is>
      </c>
      <c r="M23" s="8" t="inlineStr">
        <is>
          <t>Giá web icdayroi.com 17/10</t>
        </is>
      </c>
      <c r="N23" s="12" t="inlineStr">
        <is>
          <t>Đã nhận</t>
        </is>
      </c>
    </row>
    <row r="24">
      <c r="A24" s="5" t="n">
        <v>19</v>
      </c>
      <c r="B24" s="6" t="inlineStr">
        <is>
          <t>Bắt buộc</t>
        </is>
      </c>
      <c r="C24" s="7" t="inlineStr">
        <is>
          <t>Long đền M5</t>
        </is>
      </c>
      <c r="D24" s="8" t="inlineStr">
        <is>
          <t>Đệm ở mặt dưới foam. Long đền M5 nhỏ (~10 mm): nếu foam lún thì lót thêm miếng nhựa.</t>
        </is>
      </c>
      <c r="E24" s="5" t="inlineStr">
        <is>
          <t>gói 10</t>
        </is>
      </c>
      <c r="F24" s="9" t="n">
        <v>1</v>
      </c>
      <c r="G24" s="10" t="n">
        <v>3000</v>
      </c>
      <c r="H24" s="10" t="n">
        <v>3000</v>
      </c>
      <c r="I24" s="11">
        <f>F24*G24</f>
        <v/>
      </c>
      <c r="J24" s="11">
        <f>F24*H24</f>
        <v/>
      </c>
      <c r="K24" s="8" t="inlineStr">
        <is>
          <t>Trong giỏ icdayroi.com, chưa thanh toán</t>
        </is>
      </c>
      <c r="L24" s="8" t="inlineStr">
        <is>
          <t>icdayroi.com: Long đền M5 (gói 10 con)</t>
        </is>
      </c>
      <c r="M24" s="8" t="inlineStr">
        <is>
          <t>Giá web icdayroi.com 17/10</t>
        </is>
      </c>
      <c r="N24" s="12" t="inlineStr">
        <is>
          <t>Đã nhận</t>
        </is>
      </c>
    </row>
    <row r="25">
      <c r="A25" s="5" t="n">
        <v>20</v>
      </c>
      <c r="B25" s="13" t="inlineStr">
        <is>
          <t>Nên có</t>
        </is>
      </c>
      <c r="C25" s="7" t="inlineStr">
        <is>
          <t>Tụ hóa 1000 µF 16 V</t>
        </is>
      </c>
      <c r="D25" s="8" t="inlineStr">
        <is>
          <t>Thêm 17/10 để chạy ổn định: cắm sát VIN–GND của mỗi ESP32 (chân dài là +), đỡ sụt áp khi ESP32 phát Wi-Fi qua dây dài + diode + PTC, tránh reset do brownout. Chưa có trên bản vẽ A.2. 2 dùng + 1 dự phòng.</t>
        </is>
      </c>
      <c r="E25" s="5" t="inlineStr">
        <is>
          <t>cái</t>
        </is>
      </c>
      <c r="F25" s="9" t="n">
        <v>3</v>
      </c>
      <c r="G25" s="10" t="n">
        <v>1500</v>
      </c>
      <c r="H25" s="10" t="n">
        <v>1500</v>
      </c>
      <c r="I25" s="11">
        <f>F25*G25</f>
        <v/>
      </c>
      <c r="J25" s="11">
        <f>F25*H25</f>
        <v/>
      </c>
      <c r="K25" s="8" t="inlineStr">
        <is>
          <t>Trong giỏ icdayroi.com, chưa thanh toán</t>
        </is>
      </c>
      <c r="L25" s="8" t="inlineStr">
        <is>
          <t>icdayroi.com: Tụ hoá 1000UF16V</t>
        </is>
      </c>
      <c r="M25" s="8" t="inlineStr">
        <is>
          <t>Giá web icdayroi.com 17/10</t>
        </is>
      </c>
      <c r="N25" s="12" t="inlineStr">
        <is>
          <t>Đã nhận</t>
        </is>
      </c>
    </row>
    <row r="26">
      <c r="A26" s="5" t="n">
        <v>21</v>
      </c>
      <c r="B26" s="13" t="inlineStr">
        <is>
          <t>Nên có</t>
        </is>
      </c>
      <c r="C26" s="7" t="inlineStr">
        <is>
          <t>Bó dây cắm test board 65 sợi</t>
        </is>
      </c>
      <c r="D26" s="8" t="inlineStr">
        <is>
          <t>Thêm 17/10: dây nối cứng cho rail nguồn, VIN, GND trên breadboard; gọn và chắc hơn tự tuốt lõi CAT5e.</t>
        </is>
      </c>
      <c r="E26" s="5" t="inlineStr">
        <is>
          <t>bó</t>
        </is>
      </c>
      <c r="F26" s="9" t="n">
        <v>1</v>
      </c>
      <c r="G26" s="10" t="n">
        <v>20000</v>
      </c>
      <c r="H26" s="10" t="n">
        <v>20000</v>
      </c>
      <c r="I26" s="11">
        <f>F26*G26</f>
        <v/>
      </c>
      <c r="J26" s="11">
        <f>F26*H26</f>
        <v/>
      </c>
      <c r="K26" s="8" t="inlineStr">
        <is>
          <t>Trong giỏ icdayroi.com, chưa thanh toán</t>
        </is>
      </c>
      <c r="L26" s="8" t="inlineStr">
        <is>
          <t>icdayroi.com: Bó dây cắm test board 65 sợi</t>
        </is>
      </c>
      <c r="M26" s="8" t="inlineStr">
        <is>
          <t>Giá web icdayroi.com 17/10</t>
        </is>
      </c>
      <c r="N26" s="12" t="inlineStr">
        <is>
          <t>Đã nhận</t>
        </is>
      </c>
    </row>
    <row r="27">
      <c r="A27" s="5" t="n">
        <v>22</v>
      </c>
      <c r="B27" s="6" t="inlineStr">
        <is>
          <t>Bắt buộc</t>
        </is>
      </c>
      <c r="C27" s="7" t="inlineStr">
        <is>
          <t>Cáp mạng CAT5e lõi đồng đặc (mua theo mét)</t>
        </is>
      </c>
      <c r="D27" s="8" t="inlineStr">
        <is>
          <t>Cắt 2 sợi 1,0 m lên trụ (W1, W2; đường đi ước tính 0,84 m trên sa bàn 2 tấm), dùng 7 lõi (R/Y/G × 2 pha + GND), màu theo T568B (A.4). Phần dư ~1 m tách lõi làm dây nguồn P2/P3 (P3 ~0,3 m). Phải là lõi đặc để cắm thẳng breadboard. icdayroi chỉ có dây bấm sẵn 2 đầu, 26 AWG (lõi bện): không dùng được.</t>
        </is>
      </c>
      <c r="E27" s="5" t="inlineStr">
        <is>
          <t>m</t>
        </is>
      </c>
      <c r="F27" s="9" t="n">
        <v>3</v>
      </c>
      <c r="G27" s="10" t="n">
        <v>6000</v>
      </c>
      <c r="H27" s="10" t="n">
        <v>12000</v>
      </c>
      <c r="I27" s="11">
        <f>F27*G27</f>
        <v/>
      </c>
      <c r="J27" s="11">
        <f>F27*H27</f>
        <v/>
      </c>
      <c r="K27" s="8" t="inlineStr">
        <is>
          <t>Chưa có – đội xác nhận 16/10</t>
        </is>
      </c>
      <c r="L27" s="8" t="inlineStr">
        <is>
          <t>Tiệm vi tính (dây cuộn), Shopee</t>
        </is>
      </c>
      <c r="M27" s="8" t="inlineStr">
        <is>
          <t>Ước tính 16/10, chưa hỏi giá</t>
        </is>
      </c>
      <c r="N27" s="12" t="inlineStr">
        <is>
          <t>Đã thêm vào giỏ hàng Shopee</t>
        </is>
      </c>
    </row>
    <row r="28">
      <c r="A28" s="5" t="n">
        <v>23</v>
      </c>
      <c r="B28" s="6" t="inlineStr">
        <is>
          <t>Bắt buộc</t>
        </is>
      </c>
      <c r="C28" s="7" t="inlineStr">
        <is>
          <t>Hub USB-C ra ≥ 3 cổng USB-A</t>
        </is>
      </c>
      <c r="D28" s="8" t="inlineStr">
        <is>
          <t>MacBook Pro M1 Pro chỉ có cổng USB-C. Cần cắm cùng lúc 2 ESP32 (log TRACE) + logic analyzer. Đã nạp được ESP32 từ MacBook nên có thể đội đã có hub hoặc đầu chuyển: kiểm trước.</t>
        </is>
      </c>
      <c r="E28" s="5" t="inlineStr">
        <is>
          <t>cái</t>
        </is>
      </c>
      <c r="F28" s="9" t="n">
        <v>1</v>
      </c>
      <c r="G28" s="10" t="n">
        <v>80000</v>
      </c>
      <c r="H28" s="10" t="n">
        <v>150000</v>
      </c>
      <c r="I28" s="11">
        <f>F28*G28</f>
        <v/>
      </c>
      <c r="J28" s="11">
        <f>F28*H28</f>
        <v/>
      </c>
      <c r="K28" s="8" t="inlineStr">
        <is>
          <t>Kiểm trước khi mua</t>
        </is>
      </c>
      <c r="L28" s="8" t="inlineStr">
        <is>
          <t>Tiệm vi tính, Shopee (icdayroi, HSHOP không có)</t>
        </is>
      </c>
      <c r="M28" s="8" t="inlineStr">
        <is>
          <t>Ước tính 16/10, chưa hỏi giá</t>
        </is>
      </c>
      <c r="N28" s="12" t="inlineStr">
        <is>
          <t>Chưa đặt</t>
        </is>
      </c>
    </row>
    <row r="29">
      <c r="A29" s="5" t="n">
        <v>24</v>
      </c>
      <c r="B29" s="6" t="inlineStr">
        <is>
          <t>Bắt buộc</t>
        </is>
      </c>
      <c r="C29" s="7" t="inlineStr">
        <is>
          <t>Mặt sa bàn: 1 tấm bạt Hiflex 1200 × 600 mm, in mờ</t>
        </is>
      </c>
      <c r="D29" s="8" t="inlineStr">
        <is>
          <t>Từ 18/10 chiều đội in 1 tấm bạt liền (cuộn lại để chở), thay 2 tấm fomex 600 × 600. Bạt mờ dày ≥ 440 g/m², gấp viền 20 mm dán keo, bấm khoen 4 góc nếu có. Không bồi cứng; trải lên bàn phẳng. File in + phiếu đặt: in_sa_ban/ (PHIEU_DAT_IN.pdf trang 1).</t>
        </is>
      </c>
      <c r="E29" s="5" t="inlineStr">
        <is>
          <t>tấm</t>
        </is>
      </c>
      <c r="F29" s="9" t="n">
        <v>1</v>
      </c>
      <c r="G29" s="10" t="n">
        <v>80000</v>
      </c>
      <c r="H29" s="10" t="n">
        <v>160000</v>
      </c>
      <c r="I29" s="11">
        <f>F29*G29</f>
        <v/>
      </c>
      <c r="J29" s="11">
        <f>F29*H29</f>
        <v/>
      </c>
      <c r="K29" s="8" t="inlineStr">
        <is>
          <t>Chưa có (ngoài đơn Bảo Anh)</t>
        </is>
      </c>
      <c r="L29" s="8" t="inlineStr">
        <is>
          <t>Tiệm quảng cáo</t>
        </is>
      </c>
      <c r="M29" s="8" t="inlineStr">
        <is>
          <t>Ước tính 18/10, chưa hỏi giá</t>
        </is>
      </c>
      <c r="N29" s="12" t="inlineStr">
        <is>
          <t>Chưa đặt</t>
        </is>
      </c>
    </row>
    <row r="30">
      <c r="A30" s="5" t="n">
        <v>25</v>
      </c>
      <c r="B30" s="6" t="inlineStr">
        <is>
          <t>Bắt buộc</t>
        </is>
      </c>
      <c r="C30" s="7" t="inlineStr">
        <is>
          <t>Đế trụ MDF 6 ly 200 × 200 mm</t>
        </is>
      </c>
      <c r="D30" s="8" t="inlineStr">
        <is>
          <t>Bạt mềm không bắt ốc được nên mỗi trụ đứng trên 1 đế MDF vuông 200 mm (nặng ~180 g, dằn trụ chống lật; tỉ số chống lật ước tính 2,8). Bản vẽ: in_sa_ban/PHIEU_DAT_IN.pdf trang 2. Làm ở tiệm gỗ hoặc tiệm quảng cáo có CNC; lỗ bắt ke đội khoan theo ke thật.</t>
        </is>
      </c>
      <c r="E30" s="5" t="inlineStr">
        <is>
          <t>tấm</t>
        </is>
      </c>
      <c r="F30" s="9" t="n">
        <v>2</v>
      </c>
      <c r="G30" s="10" t="n">
        <v>15000</v>
      </c>
      <c r="H30" s="10" t="n">
        <v>40000</v>
      </c>
      <c r="I30" s="11">
        <f>F30*G30</f>
        <v/>
      </c>
      <c r="J30" s="11">
        <f>F30*H30</f>
        <v/>
      </c>
      <c r="K30" s="8" t="inlineStr">
        <is>
          <t>Chưa có (ngoài đơn Bảo Anh)</t>
        </is>
      </c>
      <c r="L30" s="8" t="inlineStr">
        <is>
          <t>Tiệm gỗ / quảng cáo có CNC</t>
        </is>
      </c>
      <c r="M30" s="8" t="inlineStr">
        <is>
          <t>Ước tính 18/10, chưa hỏi giá</t>
        </is>
      </c>
      <c r="N30" s="12" t="inlineStr">
        <is>
          <t>Chưa đặt</t>
        </is>
      </c>
    </row>
    <row r="31">
      <c r="A31" s="5" t="n">
        <v>26</v>
      </c>
      <c r="B31" s="6" t="inlineStr">
        <is>
          <t>Bắt buộc</t>
        </is>
      </c>
      <c r="C31" s="7" t="inlineStr">
        <is>
          <t>Băng keo vải bản rộng 48 mm</t>
        </is>
      </c>
      <c r="D31" s="8" t="inlineStr">
        <is>
          <t>Dán 4 góc bạt xuống bàn và dán sát cáp W1/W2, dây P3 xuống mặt bạt (cáp vắt qua đường gần giữa bạt, không còn lỗ luồn dây).</t>
        </is>
      </c>
      <c r="E31" s="5" t="inlineStr">
        <is>
          <t>cuộn</t>
        </is>
      </c>
      <c r="F31" s="9" t="n">
        <v>2</v>
      </c>
      <c r="G31" s="10" t="n">
        <v>15000</v>
      </c>
      <c r="H31" s="10" t="n">
        <v>30000</v>
      </c>
      <c r="I31" s="11">
        <f>F31*G31</f>
        <v/>
      </c>
      <c r="J31" s="11">
        <f>F31*H31</f>
        <v/>
      </c>
      <c r="K31" s="8" t="inlineStr">
        <is>
          <t>Chưa có (ngoài đơn Bảo Anh)</t>
        </is>
      </c>
      <c r="L31" s="8" t="inlineStr">
        <is>
          <t>Nhà sách, tạp hóa</t>
        </is>
      </c>
      <c r="M31" s="8" t="inlineStr">
        <is>
          <t>Ước tính 18/10, chưa hỏi giá</t>
        </is>
      </c>
      <c r="N31" s="12" t="inlineStr">
        <is>
          <t>Đã thêm vào giỏ hàng Shopee</t>
        </is>
      </c>
    </row>
    <row r="32">
      <c r="A32" s="5" t="n">
        <v>27</v>
      </c>
      <c r="B32" s="13" t="inlineStr">
        <is>
          <t>Nên có</t>
        </is>
      </c>
      <c r="C32" s="7" t="inlineStr">
        <is>
          <t>Ống PVC Ø ≥ 10 cm dài ~65 cm để cuộn bạt</t>
        </is>
      </c>
      <c r="D32" s="8" t="inlineStr">
        <is>
          <t>Cuộn bạt quanh ống (mặt in hướng ra ngoài), không gấp vì vết gấp làm đứt màu mặt đường.</t>
        </is>
      </c>
      <c r="E32" s="5" t="inlineStr">
        <is>
          <t>ống</t>
        </is>
      </c>
      <c r="F32" s="9" t="n">
        <v>1</v>
      </c>
      <c r="G32" s="10" t="n">
        <v>20000</v>
      </c>
      <c r="H32" s="10" t="n">
        <v>40000</v>
      </c>
      <c r="I32" s="11">
        <f>F32*G32</f>
        <v/>
      </c>
      <c r="J32" s="11">
        <f>F32*H32</f>
        <v/>
      </c>
      <c r="K32" s="8" t="inlineStr">
        <is>
          <t>Chưa có (ngoài đơn Bảo Anh)</t>
        </is>
      </c>
      <c r="L32" s="8" t="inlineStr">
        <is>
          <t>Cửa hàng vật liệu nước</t>
        </is>
      </c>
      <c r="M32" s="8" t="inlineStr">
        <is>
          <t>Ước tính 18/10, chưa hỏi giá</t>
        </is>
      </c>
      <c r="N32" s="12" t="inlineStr">
        <is>
          <t>Đã thêm vào giỏ hàng Shopee</t>
        </is>
      </c>
    </row>
    <row r="33">
      <c r="A33" s="5" t="n">
        <v>28</v>
      </c>
      <c r="B33" s="6" t="inlineStr">
        <is>
          <t>Bắt buộc</t>
        </is>
      </c>
      <c r="C33" s="7" t="inlineStr">
        <is>
          <t>Băng keo 2 mặt cường lực</t>
        </is>
      </c>
      <c r="D33" s="8" t="inlineStr">
        <is>
          <t>Dán 4 module quanh lõi cụm đèn (lớp keo ~1 mm là bắt buộc: module rộng 21 mm quanh lõi 20 mm chỉ hở 0,5 mm ở góc), dán breadboard, jack X1, vỏ Pi lên mặt bạt và dán đế MDF của trụ xuống bạt.</t>
        </is>
      </c>
      <c r="E33" s="5" t="inlineStr">
        <is>
          <t>cuộn</t>
        </is>
      </c>
      <c r="F33" s="9" t="n">
        <v>1</v>
      </c>
      <c r="G33" s="10" t="n">
        <v>15000</v>
      </c>
      <c r="H33" s="10" t="n">
        <v>30000</v>
      </c>
      <c r="I33" s="11">
        <f>F33*G33</f>
        <v/>
      </c>
      <c r="J33" s="11">
        <f>F33*H33</f>
        <v/>
      </c>
      <c r="K33" s="8" t="inlineStr">
        <is>
          <t>Chưa có (ngoài đơn Bảo Anh)</t>
        </is>
      </c>
      <c r="L33" s="8" t="inlineStr">
        <is>
          <t>Nhà sách, tạp hóa (icdayroi không có)</t>
        </is>
      </c>
      <c r="M33" s="8" t="inlineStr">
        <is>
          <t>Ước tính 16/10, chưa hỏi giá</t>
        </is>
      </c>
      <c r="N33" s="12" t="inlineStr">
        <is>
          <t>Đã thêm vào giỏ hàng Shopee</t>
        </is>
      </c>
    </row>
    <row r="34">
      <c r="A34" s="5" t="n">
        <v>29</v>
      </c>
      <c r="B34" s="6" t="inlineStr">
        <is>
          <t>Bắt buộc</t>
        </is>
      </c>
      <c r="C34" s="7" t="inlineStr">
        <is>
          <t>Tờ nhãn decal A4 (nhãn cáp, nhãn thiết bị)</t>
        </is>
      </c>
      <c r="D34" s="8" t="inlineStr">
        <is>
          <t>Plan (2) yêu cầu dán nhãn cáp. In in_sa_ban/NHAN_DECAL_A4.pdf trên decal nhựa trắng cùng đơn sa bàn: cờ nhãn W1/W2/P1–P4, nhãn ESP32, Pi, S1, X1/X2, cực nguồn, trụ, đế trụ. Đội tự cắt.</t>
        </is>
      </c>
      <c r="E34" s="5" t="inlineStr">
        <is>
          <t>tờ</t>
        </is>
      </c>
      <c r="F34" s="9" t="n">
        <v>2</v>
      </c>
      <c r="G34" s="10" t="n">
        <v>10000</v>
      </c>
      <c r="H34" s="10" t="n">
        <v>20000</v>
      </c>
      <c r="I34" s="11">
        <f>F34*G34</f>
        <v/>
      </c>
      <c r="J34" s="11">
        <f>F34*H34</f>
        <v/>
      </c>
      <c r="K34" s="8" t="inlineStr">
        <is>
          <t>Chưa có (ngoài đơn Bảo Anh)</t>
        </is>
      </c>
      <c r="L34" s="8" t="inlineStr">
        <is>
          <t>Tiệm quảng cáo (cùng đơn sa bàn)</t>
        </is>
      </c>
      <c r="M34" s="8" t="inlineStr">
        <is>
          <t>Ước tính 18/10, chưa hỏi giá</t>
        </is>
      </c>
      <c r="N34" s="12" t="inlineStr">
        <is>
          <t>Đã thêm vào giỏ hàng Shopee</t>
        </is>
      </c>
    </row>
    <row r="35">
      <c r="A35" s="5" t="n">
        <v>30</v>
      </c>
      <c r="B35" s="13" t="inlineStr">
        <is>
          <t>Nên có</t>
        </is>
      </c>
      <c r="C35" s="7" t="inlineStr">
        <is>
          <t>Bảng giới thiệu A3 (decal cán mờ bồi fomex 3 mm + chân dựng)</t>
        </is>
      </c>
      <c r="D35" s="8" t="inlineStr">
        <is>
          <t>Dựng cạnh sa bàn lúc thi: luồng dữ liệu, sa bàn, giới hạn an toàn. File in_sa_ban/BANG_GIOI_THIEU_A3.pdf.</t>
        </is>
      </c>
      <c r="E35" s="5" t="inlineStr">
        <is>
          <t>bảng</t>
        </is>
      </c>
      <c r="F35" s="9" t="n">
        <v>1</v>
      </c>
      <c r="G35" s="10" t="n">
        <v>50000</v>
      </c>
      <c r="H35" s="10" t="n">
        <v>100000</v>
      </c>
      <c r="I35" s="11">
        <f>F35*G35</f>
        <v/>
      </c>
      <c r="J35" s="11">
        <f>F35*H35</f>
        <v/>
      </c>
      <c r="K35" s="8" t="inlineStr">
        <is>
          <t>Chưa có (ngoài đơn Bảo Anh)</t>
        </is>
      </c>
      <c r="L35" s="8" t="inlineStr">
        <is>
          <t>Tiệm quảng cáo (cùng đơn sa bàn)</t>
        </is>
      </c>
      <c r="M35" s="8" t="inlineStr">
        <is>
          <t>Ước tính 18/10, chưa hỏi giá</t>
        </is>
      </c>
      <c r="N35" s="12" t="inlineStr">
        <is>
          <t>Chưa đặt</t>
        </is>
      </c>
    </row>
    <row r="36">
      <c r="A36" s="5" t="n">
        <v>31</v>
      </c>
      <c r="B36" s="13" t="inlineStr">
        <is>
          <t>Nên có</t>
        </is>
      </c>
      <c r="C36" s="7" t="inlineStr">
        <is>
          <t>Ổ cắm nối dài ≥ 5 lỗ</t>
        </is>
      </c>
      <c r="D36" s="8" t="inlineStr">
        <is>
          <t>Bàn demo cắm nguồn Pi, adapter 5 V, laptop, sạc điện thoại phát hotspot.</t>
        </is>
      </c>
      <c r="E36" s="5" t="inlineStr">
        <is>
          <t>cái</t>
        </is>
      </c>
      <c r="F36" s="9" t="n">
        <v>1</v>
      </c>
      <c r="G36" s="10" t="n">
        <v>60000</v>
      </c>
      <c r="H36" s="10" t="n">
        <v>120000</v>
      </c>
      <c r="I36" s="11">
        <f>F36*G36</f>
        <v/>
      </c>
      <c r="J36" s="11">
        <f>F36*H36</f>
        <v/>
      </c>
      <c r="K36" s="8" t="inlineStr">
        <is>
          <t>Kiểm trước khi mua</t>
        </is>
      </c>
      <c r="L36" s="8" t="inlineStr">
        <is>
          <t>Điện máy</t>
        </is>
      </c>
      <c r="M36" s="8" t="inlineStr">
        <is>
          <t>Ước tính 04/10, chưa hỏi giá</t>
        </is>
      </c>
      <c r="N36" s="12" t="inlineStr">
        <is>
          <t>Đã thêm vào giỏ hàng Shopee</t>
        </is>
      </c>
    </row>
    <row r="37">
      <c r="A37" s="5" t="n">
        <v>32</v>
      </c>
      <c r="B37" s="14" t="inlineStr">
        <is>
          <t>Nếu cần</t>
        </is>
      </c>
      <c r="C37" s="7" t="inlineStr">
        <is>
          <t>Cáp camera Pi 5, FPC 22 → 15 pin</t>
        </is>
      </c>
      <c r="D37" s="8" t="inlineStr">
        <is>
          <t>Từ 17/10 demo đưa video vào Pi thay camera, nên không cần. Chỉ mua nếu muốn tự quay video / chụp ảnh sa bàn bằng Camera Module 3 (cáp kèm camera là 15–15, không cắm được Pi 5). HSHOP chỉ có 15/30 cm và đang hết hàng; icdayroi không bán.</t>
        </is>
      </c>
      <c r="E37" s="5" t="inlineStr">
        <is>
          <t>sợi</t>
        </is>
      </c>
      <c r="F37" s="9" t="n">
        <v>1</v>
      </c>
      <c r="G37" s="10" t="n">
        <v>25000</v>
      </c>
      <c r="H37" s="10" t="n">
        <v>250000</v>
      </c>
      <c r="I37" s="11">
        <f>F37*G37</f>
        <v/>
      </c>
      <c r="J37" s="11">
        <f>F37*H37</f>
        <v/>
      </c>
      <c r="K37" s="8" t="inlineStr">
        <is>
          <t>Chưa có (ngoài đơn Bảo Anh)</t>
        </is>
      </c>
      <c r="L37" s="8" t="inlineStr">
        <is>
          <t>raspberrypi.vn, mlab, Shopee (Waveshare/Arducam)</t>
        </is>
      </c>
      <c r="M37" s="8" t="inlineStr">
        <is>
          <t>Ước tính 17/10, chưa hỏi giá</t>
        </is>
      </c>
      <c r="N37" s="12" t="inlineStr">
        <is>
          <t>Đã thêm vào giỏ hàng Shopee</t>
        </is>
      </c>
    </row>
    <row r="38">
      <c r="A38" s="5" t="n">
        <v>33</v>
      </c>
      <c r="B38" s="14" t="inlineStr">
        <is>
          <t>Nếu cần</t>
        </is>
      </c>
      <c r="C38" s="7" t="inlineStr">
        <is>
          <t>Xe mô hình tỉ lệ 1:64</t>
        </is>
      </c>
      <c r="D38" s="8" t="inlineStr">
        <is>
          <t>Demo dùng video nên camera không cần thấy xe trên sa bàn. Chỉ mua để trang trí sa bàn hoặc để quay video sa bàn có hàng đợi (20–30 chiếc, nhiều màu).</t>
        </is>
      </c>
      <c r="E38" s="5" t="inlineStr">
        <is>
          <t>chiếc</t>
        </is>
      </c>
      <c r="F38" s="9" t="n">
        <v>25</v>
      </c>
      <c r="G38" s="10" t="n">
        <v>8000</v>
      </c>
      <c r="H38" s="10" t="n">
        <v>15000</v>
      </c>
      <c r="I38" s="11">
        <f>F38*G38</f>
        <v/>
      </c>
      <c r="J38" s="11">
        <f>F38*H38</f>
        <v/>
      </c>
      <c r="K38" s="8" t="inlineStr">
        <is>
          <t>Chưa có – đội xác nhận 16/10</t>
        </is>
      </c>
      <c r="L38" s="8" t="inlineStr">
        <is>
          <t>Chợ đồ chơi, Shopee</t>
        </is>
      </c>
      <c r="M38" s="8" t="inlineStr">
        <is>
          <t>Ước tính 16/10, chưa hỏi giá</t>
        </is>
      </c>
      <c r="N38" s="12" t="inlineStr">
        <is>
          <t>Đã thêm vào giỏ hàng Shopee</t>
        </is>
      </c>
    </row>
    <row r="39">
      <c r="A39" s="5" t="n">
        <v>34</v>
      </c>
      <c r="B39" s="14" t="inlineStr">
        <is>
          <t>Nếu cần</t>
        </is>
      </c>
      <c r="C39" s="7" t="inlineStr">
        <is>
          <t>Đèn LED chiếu sa bàn, không nhấp nháy</t>
        </is>
      </c>
      <c r="D39" s="8" t="inlineStr">
        <is>
          <t>Chỉ cần khi quay video sa bàn bằng camera (giữ ánh sáng ổn định giữa lúc quay và lúc thi).</t>
        </is>
      </c>
      <c r="E39" s="5" t="inlineStr">
        <is>
          <t>cái</t>
        </is>
      </c>
      <c r="F39" s="9" t="n">
        <v>1</v>
      </c>
      <c r="G39" s="10" t="n">
        <v>100000</v>
      </c>
      <c r="H39" s="10" t="n">
        <v>200000</v>
      </c>
      <c r="I39" s="11">
        <f>F39*G39</f>
        <v/>
      </c>
      <c r="J39" s="11">
        <f>F39*H39</f>
        <v/>
      </c>
      <c r="K39" s="8" t="inlineStr">
        <is>
          <t>Chưa có (ngoài đơn Bảo Anh)</t>
        </is>
      </c>
      <c r="L39" s="8" t="inlineStr">
        <is>
          <t>Điện máy, Shopee</t>
        </is>
      </c>
      <c r="M39" s="8" t="inlineStr">
        <is>
          <t>Ước tính 04/10, chưa hỏi giá</t>
        </is>
      </c>
      <c r="N39" s="12" t="inlineStr">
        <is>
          <t>Đã thêm vào giỏ hàng Shopee</t>
        </is>
      </c>
    </row>
    <row r="40">
      <c r="A40" s="5" t="n">
        <v>35</v>
      </c>
      <c r="B40" s="14" t="inlineStr">
        <is>
          <t>Nếu cần</t>
        </is>
      </c>
      <c r="C40" s="7" t="inlineStr">
        <is>
          <t>Dây dupont 40P dài 30 cm (F-F hoặc M-F)</t>
        </is>
      </c>
      <c r="D40" s="8" t="inlineStr">
        <is>
          <t>Cáp CAT5e lo đoạn dài, và 3 bộ 20 cm đã có (đơn Bảo Anh) đủ cho 32 đầu cái ở điểm rẽ nhánh (2 nút × 16). Chỉ mua nếu lắp thực tế thấy thiếu dây.</t>
        </is>
      </c>
      <c r="E40" s="5" t="inlineStr">
        <is>
          <t>bộ</t>
        </is>
      </c>
      <c r="F40" s="9" t="n">
        <v>1</v>
      </c>
      <c r="G40" s="10" t="n">
        <v>25000</v>
      </c>
      <c r="H40" s="10" t="n">
        <v>35000</v>
      </c>
      <c r="I40" s="11">
        <f>F40*G40</f>
        <v/>
      </c>
      <c r="J40" s="11">
        <f>F40*H40</f>
        <v/>
      </c>
      <c r="K40" s="8" t="inlineStr">
        <is>
          <t>Chưa có (ngoài đơn Bảo Anh)</t>
        </is>
      </c>
      <c r="L40" s="8" t="inlineStr">
        <is>
          <t>Bảo Anh / HSHOP / Nhật Tảo</t>
        </is>
      </c>
      <c r="M40" s="8" t="inlineStr">
        <is>
          <t>Ước tính 04/10, chưa hỏi giá</t>
        </is>
      </c>
      <c r="N40" s="12" t="inlineStr">
        <is>
          <t>Đã thêm vào giỏ hàng Shopee</t>
        </is>
      </c>
    </row>
    <row r="41">
      <c r="A41" s="5" t="n">
        <v>36</v>
      </c>
      <c r="B41" s="14" t="inlineStr">
        <is>
          <t>Nếu cần</t>
        </is>
      </c>
      <c r="C41" s="7" t="inlineStr">
        <is>
          <t>Đầu chuyển thẻ microSD → SD</t>
        </is>
      </c>
      <c r="D41" s="8" t="inlineStr">
        <is>
          <t>MacBook có sẵn khe SD. Chỉ mua nếu thẻ ACER 64 GB không kèm đầu chuyển.</t>
        </is>
      </c>
      <c r="E41" s="5" t="inlineStr">
        <is>
          <t>cái</t>
        </is>
      </c>
      <c r="F41" s="9" t="n">
        <v>1</v>
      </c>
      <c r="G41" s="10" t="n">
        <v>5000</v>
      </c>
      <c r="H41" s="10" t="n">
        <v>10000</v>
      </c>
      <c r="I41" s="11">
        <f>F41*G41</f>
        <v/>
      </c>
      <c r="J41" s="11">
        <f>F41*H41</f>
        <v/>
      </c>
      <c r="K41" s="8" t="inlineStr">
        <is>
          <t>Kiểm trước khi mua</t>
        </is>
      </c>
      <c r="L41" s="8" t="inlineStr">
        <is>
          <t>Tiệm vi tính</t>
        </is>
      </c>
      <c r="M41" s="8" t="inlineStr">
        <is>
          <t>Ước tính 16/10, chưa hỏi giá</t>
        </is>
      </c>
      <c r="N41" s="12" t="inlineStr">
        <is>
          <t>Đã thêm vào giỏ hàng Shopee</t>
        </is>
      </c>
    </row>
    <row r="42">
      <c r="A42" s="5" t="n">
        <v>37</v>
      </c>
      <c r="B42" s="14" t="inlineStr">
        <is>
          <t>Nếu cần</t>
        </is>
      </c>
      <c r="C42" s="7" t="inlineStr">
        <is>
          <t>Mỏ hàn + thiếc + nhựa thông</t>
        </is>
      </c>
      <c r="D42" s="8" t="inlineStr">
        <is>
          <t>Bắt buộc phải có để hàn rẽ nhánh ở đầu cần đèn. Chỉ mua nếu đội chưa có.</t>
        </is>
      </c>
      <c r="E42" s="5" t="inlineStr">
        <is>
          <t>bộ</t>
        </is>
      </c>
      <c r="F42" s="9" t="n">
        <v>1</v>
      </c>
      <c r="G42" s="10" t="n">
        <v>100000</v>
      </c>
      <c r="H42" s="10" t="n">
        <v>200000</v>
      </c>
      <c r="I42" s="11">
        <f>F42*G42</f>
        <v/>
      </c>
      <c r="J42" s="11">
        <f>F42*H42</f>
        <v/>
      </c>
      <c r="K42" s="8" t="inlineStr">
        <is>
          <t>Kiểm: dụng cụ, đội thường có sẵn</t>
        </is>
      </c>
      <c r="L42" s="8" t="inlineStr">
        <is>
          <t>icdayroi.com có: Mỏ hàn 60W 95.000đ; Nhật Tảo</t>
        </is>
      </c>
      <c r="M42" s="8" t="inlineStr">
        <is>
          <t>Ước tính 16/10, chưa hỏi giá</t>
        </is>
      </c>
      <c r="N42" s="12" t="inlineStr">
        <is>
          <t>Đã thêm vào giỏ hàng Shopee</t>
        </is>
      </c>
    </row>
    <row r="43">
      <c r="A43" s="5" t="n">
        <v>38</v>
      </c>
      <c r="B43" s="14" t="inlineStr">
        <is>
          <t>Nếu cần</t>
        </is>
      </c>
      <c r="C43" s="7" t="inlineStr">
        <is>
          <t>Đồng hồ vạn năng</t>
        </is>
      </c>
      <c r="D43" s="8" t="inlineStr">
        <is>
          <t>Đo cực tính và chạm chập đường 5 V trước khi cắm ESP32. Chỉ mua nếu đội chưa có.</t>
        </is>
      </c>
      <c r="E43" s="5" t="inlineStr">
        <is>
          <t>cái</t>
        </is>
      </c>
      <c r="F43" s="9" t="n">
        <v>1</v>
      </c>
      <c r="G43" s="10" t="n">
        <v>80000</v>
      </c>
      <c r="H43" s="10" t="n">
        <v>200000</v>
      </c>
      <c r="I43" s="11">
        <f>F43*G43</f>
        <v/>
      </c>
      <c r="J43" s="11">
        <f>F43*H43</f>
        <v/>
      </c>
      <c r="K43" s="8" t="inlineStr">
        <is>
          <t>Kiểm: dụng cụ, đội thường có sẵn</t>
        </is>
      </c>
      <c r="L43" s="8" t="inlineStr">
        <is>
          <t>icdayroi.com có: Đồng hồ đo vạn năng DT-830B 80.000đ</t>
        </is>
      </c>
      <c r="M43" s="8" t="inlineStr">
        <is>
          <t>Ước tính 16/10, chưa hỏi giá</t>
        </is>
      </c>
      <c r="N43" s="12" t="inlineStr">
        <is>
          <t>Đã thêm vào giỏ hàng Shopee</t>
        </is>
      </c>
    </row>
    <row r="44">
      <c r="A44" s="5" t="n">
        <v>39</v>
      </c>
      <c r="B44" s="14" t="inlineStr">
        <is>
          <t>Nếu cần</t>
        </is>
      </c>
      <c r="C44" s="7" t="inlineStr">
        <is>
          <t>Kìm cắt + kìm tuốt dây</t>
        </is>
      </c>
      <c r="D44" s="8" t="inlineStr">
        <is>
          <t>Tuốt lõi CAT5e, cắt dây dupont. Chỉ mua nếu đội chưa có.</t>
        </is>
      </c>
      <c r="E44" s="5" t="inlineStr">
        <is>
          <t>bộ</t>
        </is>
      </c>
      <c r="F44" s="9" t="n">
        <v>1</v>
      </c>
      <c r="G44" s="10" t="n">
        <v>50000</v>
      </c>
      <c r="H44" s="10" t="n">
        <v>120000</v>
      </c>
      <c r="I44" s="11">
        <f>F44*G44</f>
        <v/>
      </c>
      <c r="J44" s="11">
        <f>F44*H44</f>
        <v/>
      </c>
      <c r="K44" s="8" t="inlineStr">
        <is>
          <t>Kiểm: dụng cụ, đội thường có sẵn</t>
        </is>
      </c>
      <c r="L44" s="8" t="inlineStr">
        <is>
          <t>icdayroi.com có: Kìm cắt PLATO170 28.000đ, Kềm tuốt dây 90.000đ</t>
        </is>
      </c>
      <c r="M44" s="8" t="inlineStr">
        <is>
          <t>Ước tính 16/10, chưa hỏi giá</t>
        </is>
      </c>
      <c r="N44" s="12" t="inlineStr">
        <is>
          <t>Đã thêm vào giỏ hàng Shopee</t>
        </is>
      </c>
    </row>
    <row r="45">
      <c r="A45" s="5" t="n">
        <v>40</v>
      </c>
      <c r="B45" s="14" t="inlineStr">
        <is>
          <t>Nếu cần</t>
        </is>
      </c>
      <c r="C45" s="7" t="inlineStr">
        <is>
          <t>Súng bắn keo nến + keo</t>
        </is>
      </c>
      <c r="D45" s="8" t="inlineStr">
        <is>
          <t>Gia cố module đèn, chân trụ, cáp dưới hộp đế. Chỉ mua nếu đội chưa có.</t>
        </is>
      </c>
      <c r="E45" s="5" t="inlineStr">
        <is>
          <t>bộ</t>
        </is>
      </c>
      <c r="F45" s="9" t="n">
        <v>1</v>
      </c>
      <c r="G45" s="10" t="n">
        <v>50000</v>
      </c>
      <c r="H45" s="10" t="n">
        <v>80000</v>
      </c>
      <c r="I45" s="11">
        <f>F45*G45</f>
        <v/>
      </c>
      <c r="J45" s="11">
        <f>F45*H45</f>
        <v/>
      </c>
      <c r="K45" s="8" t="inlineStr">
        <is>
          <t>Kiểm: dụng cụ, đội thường có sẵn</t>
        </is>
      </c>
      <c r="L45" s="8" t="inlineStr">
        <is>
          <t>icdayroi.com có: Súng bắn keo 20W 39.000đ, cây keo 1.500đ</t>
        </is>
      </c>
      <c r="M45" s="8" t="inlineStr">
        <is>
          <t>Ước tính 16/10, chưa hỏi giá</t>
        </is>
      </c>
      <c r="N45" s="12" t="inlineStr">
        <is>
          <t>Đã thêm vào giỏ hàng Shopee</t>
        </is>
      </c>
    </row>
    <row r="46">
      <c r="A46" s="5" t="n">
        <v>41</v>
      </c>
      <c r="B46" s="14" t="inlineStr">
        <is>
          <t>Nếu cần</t>
        </is>
      </c>
      <c r="C46" s="7" t="inlineStr">
        <is>
          <t>Nút dừng khẩn nấm đỏ 22 mm, thường đóng (NC)</t>
        </is>
      </c>
      <c r="D46" s="8" t="inlineStr">
        <is>
          <t>Cho chung kết: nút hiện tại đứt dây thì không dừng được (O9). Đổi sang NC phải đảo logic firmware.</t>
        </is>
      </c>
      <c r="E46" s="5" t="inlineStr">
        <is>
          <t>cái</t>
        </is>
      </c>
      <c r="F46" s="9" t="n">
        <v>2</v>
      </c>
      <c r="G46" s="10" t="n">
        <v>35000</v>
      </c>
      <c r="H46" s="10" t="n">
        <v>45000</v>
      </c>
      <c r="I46" s="11">
        <f>F46*G46</f>
        <v/>
      </c>
      <c r="J46" s="11">
        <f>F46*H46</f>
        <v/>
      </c>
      <c r="K46" s="8" t="inlineStr">
        <is>
          <t>Chưa có (ngoài đơn Bảo Anh)</t>
        </is>
      </c>
      <c r="L46" s="8" t="inlineStr">
        <is>
          <t>Nhật Tảo, Shopee (icdayroi không có)</t>
        </is>
      </c>
      <c r="M46" s="8" t="inlineStr">
        <is>
          <t>Ước tính 04/10, chưa hỏi giá</t>
        </is>
      </c>
      <c r="N46" s="12" t="inlineStr">
        <is>
          <t>Đã thêm vào giỏ hàng Shopee</t>
        </is>
      </c>
    </row>
    <row r="47">
      <c r="A47" s="15" t="n"/>
      <c r="B47" s="15" t="n"/>
      <c r="C47" s="16" t="inlineStr">
        <is>
          <t>Tổng (cận dưới / cận trên)</t>
        </is>
      </c>
      <c r="D47" s="15" t="n"/>
      <c r="E47" s="15" t="n"/>
      <c r="F47" s="15" t="n"/>
      <c r="G47" s="15" t="n"/>
      <c r="H47" s="15" t="n"/>
      <c r="I47" s="17">
        <f>SUM(I6:I46)</f>
        <v/>
      </c>
      <c r="J47" s="17">
        <f>SUM(J6:J46)</f>
        <v/>
      </c>
      <c r="K47" s="15" t="n"/>
      <c r="L47" s="15" t="n"/>
      <c r="M47" s="15" t="n"/>
      <c r="N47" s="15" t="n"/>
    </row>
  </sheetData>
  <autoFilter ref="A5:N46"/>
  <mergeCells count="2">
    <mergeCell ref="A3:N3"/>
    <mergeCell ref="A2:N2"/>
  </mergeCells>
  <conditionalFormatting sqref="K6:K46">
    <cfRule type="expression" priority="1" dxfId="0">
      <formula>LEFT($K6,4)="Chưa"</formula>
    </cfRule>
    <cfRule type="expression" priority="2" dxfId="1">
      <formula>LEFT($K6,4)="Kiểm"</formula>
    </cfRule>
    <cfRule type="expression" priority="3" dxfId="2">
      <formula>LEFT($K6,2)="Có"</formula>
    </cfRule>
  </conditionalFormatting>
  <conditionalFormatting sqref="N6:N46">
    <cfRule type="expression" priority="4" dxfId="3">
      <formula>$N6="Đã lên đơn web"</formula>
    </cfRule>
  </conditionalFormatting>
  <conditionalFormatting sqref="A6:N46">
    <cfRule type="expression" priority="5" dxfId="4">
      <formula>OR($F6=0,$N6="Đã nhận",$N6="Bỏ")</formula>
    </cfRule>
  </conditionalFormatting>
  <dataValidations count="2">
    <dataValidation sqref="F6:F46" showDropDown="0" showInputMessage="0" showErrorMessage="1" allowBlank="0" error="Nhập số nguyên ≥ 0" type="whole" operator="greaterThanOrEqual">
      <formula1>0</formula1>
    </dataValidation>
    <dataValidation sqref="N6:N46" showDropDown="0" showInputMessage="0" showErrorMessage="1" allowBlank="0" type="list">
      <formula1>"Chưa đặt,Đã lên đơn web,Đã thêm vào giỏ hàng Shopee,Đã đặt,Đã nhận,Bỏ"</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28"/>
  <sheetViews>
    <sheetView workbookViewId="0">
      <pane ySplit="4" topLeftCell="A5" activePane="bottomLeft" state="frozen"/>
      <selection pane="bottomLeft" activeCell="A1" sqref="A1"/>
    </sheetView>
  </sheetViews>
  <sheetFormatPr baseColWidth="8" defaultRowHeight="15"/>
  <cols>
    <col width="20" customWidth="1" min="1" max="1"/>
    <col width="36" customWidth="1" min="2" max="2"/>
    <col width="34" customWidth="1" min="3" max="3"/>
    <col width="44" customWidth="1" min="4" max="4"/>
    <col width="34" customWidth="1" min="5" max="5"/>
  </cols>
  <sheetData>
    <row r="1">
      <c r="A1" s="1" t="inlineStr">
        <is>
          <t>Đối chiếu đủ linh kiện theo bản vẽ A.1–A.4: đồ đã có + đồ mua mới</t>
        </is>
      </c>
    </row>
    <row r="2" ht="28" customHeight="1">
      <c r="A2" s="2" t="inlineStr">
        <is>
          <t>Mỗi dòng là một bước lắp hoặc một mối nối. Cột "Mua mới" khớp tên dòng trong sheet "Cần mua". Dòng nào cả hai cột đều trống là phần không cần linh kiện.</t>
        </is>
      </c>
    </row>
    <row r="4">
      <c r="A4" s="4" t="inlineStr">
        <is>
          <t>Khối</t>
        </is>
      </c>
      <c r="B4" s="4" t="inlineStr">
        <is>
          <t>Bước lắp / mối nối</t>
        </is>
      </c>
      <c r="C4" s="4" t="inlineStr">
        <is>
          <t>Đã có</t>
        </is>
      </c>
      <c r="D4" s="4" t="inlineStr">
        <is>
          <t>Mua mới</t>
        </is>
      </c>
      <c r="E4" s="4" t="inlineStr">
        <is>
          <t>Ghi chú</t>
        </is>
      </c>
    </row>
    <row r="5">
      <c r="A5" s="7" t="inlineStr">
        <is>
          <t>A. Khối AI biên</t>
        </is>
      </c>
      <c r="B5" s="8" t="inlineStr">
        <is>
          <t>Pi 5 + nguồn</t>
        </is>
      </c>
      <c r="C5" s="18" t="inlineStr">
        <is>
          <t>Raspberry Pi 5 4 GB, nguồn USB-C</t>
        </is>
      </c>
      <c r="D5" s="8" t="n"/>
      <c r="E5" s="8" t="n"/>
    </row>
    <row r="6">
      <c r="A6" s="7" t="inlineStr">
        <is>
          <t>A. Khối AI biên</t>
        </is>
      </c>
      <c r="B6" s="8" t="inlineStr">
        <is>
          <t>Ghi hệ điều hành</t>
        </is>
      </c>
      <c r="C6" s="18" t="inlineStr">
        <is>
          <t>Thẻ microSD 64 GB; khe SD trên MacBook</t>
        </is>
      </c>
      <c r="D6" s="19" t="inlineStr">
        <is>
          <t>Đầu chuyển microSD → SD (nếu thẻ không kèm)</t>
        </is>
      </c>
      <c r="E6" s="8" t="n"/>
    </row>
    <row r="7">
      <c r="A7" s="7" t="inlineStr">
        <is>
          <t>A. Khối AI biên</t>
        </is>
      </c>
      <c r="B7" s="8" t="inlineStr">
        <is>
          <t>Làm mát, vỏ</t>
        </is>
      </c>
      <c r="C7" s="18" t="inlineStr">
        <is>
          <t>Tản nhiệt + quạt, vỏ ABS</t>
        </is>
      </c>
      <c r="D7" s="19" t="inlineStr">
        <is>
          <t>Băng keo 2 mặt (dán vỏ xuống sa bàn)</t>
        </is>
      </c>
      <c r="E7" s="8" t="n"/>
    </row>
    <row r="8">
      <c r="A8" s="7" t="inlineStr">
        <is>
          <t>A. Khối AI biên</t>
        </is>
      </c>
      <c r="B8" s="8" t="inlineStr">
        <is>
          <t>Đầu vào thị giác: video phát lại (từ 17/10)</t>
        </is>
      </c>
      <c r="C8" s="18" t="inlineStr">
        <is>
          <t>File video; thẻ microSD</t>
        </is>
      </c>
      <c r="D8" s="8" t="n"/>
      <c r="E8" s="8" t="inlineStr">
        <is>
          <t>VIDEO_SOURCE = đường dẫn file trên Pi; chép video lên Pi qua scp. Camera Module 3 không dùng trong demo, cáp camera chỉ cần nếu tự quay video.</t>
        </is>
      </c>
    </row>
    <row r="9">
      <c r="A9" s="7" t="inlineStr">
        <is>
          <t>A. Khối AI biên</t>
        </is>
      </c>
      <c r="B9" s="8" t="inlineStr">
        <is>
          <t>Mạng MQTT</t>
        </is>
      </c>
      <c r="C9" s="18" t="inlineStr">
        <is>
          <t>Wi-Fi nhà (2.4 GHz); laptop</t>
        </is>
      </c>
      <c r="D9" s="8" t="n"/>
      <c r="E9" s="8" t="inlineStr">
        <is>
          <t>Ở hội trường: hotspot điện thoại 2.4 GHz (xem Ghi chú)</t>
        </is>
      </c>
    </row>
    <row r="10">
      <c r="A10" s="7" t="inlineStr">
        <is>
          <t>B. Nút chấp hành ×2</t>
        </is>
      </c>
      <c r="B10" s="8" t="inlineStr">
        <is>
          <t>Vi điều khiển</t>
        </is>
      </c>
      <c r="C10" s="18" t="inlineStr">
        <is>
          <t>ESP32 NodeMCU-32S ×3 (2 + 1 dự phòng)</t>
        </is>
      </c>
      <c r="D10" s="8" t="n"/>
      <c r="E10" s="8" t="inlineStr">
        <is>
          <t>Giả định đơn HSHOP đã về đủ 3 con</t>
        </is>
      </c>
    </row>
    <row r="11">
      <c r="A11" s="7" t="inlineStr">
        <is>
          <t>B. Nút chấp hành ×2</t>
        </is>
      </c>
      <c r="B11" s="8" t="inlineStr">
        <is>
          <t>Breadboard, 2 tấm mỗi nút</t>
        </is>
      </c>
      <c r="C11" s="18" t="inlineStr">
        <is>
          <t>Breadboard ×1</t>
        </is>
      </c>
      <c r="D11" s="19" t="inlineStr">
        <is>
          <t>Breadboard ×3</t>
        </is>
      </c>
      <c r="E11" s="8" t="n"/>
    </row>
    <row r="12">
      <c r="A12" s="7" t="inlineStr">
        <is>
          <t>B. Nút chấp hành ×2</t>
        </is>
      </c>
      <c r="B12" s="8" t="inlineStr">
        <is>
          <t>Nạp firmware, log TRACE từ MacBook</t>
        </is>
      </c>
      <c r="C12" s="8" t="n"/>
      <c r="D12" s="19" t="inlineStr">
        <is>
          <t>Cáp micro-USB dữ liệu ×3; hub USB-C → USB-A (chưa mua)</t>
        </is>
      </c>
      <c r="E12" s="8" t="inlineStr">
        <is>
          <t>MacBook chỉ có cổng USB-C</t>
        </is>
      </c>
    </row>
    <row r="13">
      <c r="A13" s="7" t="inlineStr">
        <is>
          <t>B. Nút chấp hành ×2</t>
        </is>
      </c>
      <c r="B13" s="8" t="inlineStr">
        <is>
          <t>Nguồn: adapter → X1 → F1 → D1 → X2 → VIN</t>
        </is>
      </c>
      <c r="C13" s="18" t="inlineStr">
        <is>
          <t>Adapter 5 V/4 A</t>
        </is>
      </c>
      <c r="D13" s="19" t="inlineStr">
        <is>
          <t>Jack DC (X1), PTC (F1), 1N5819 (D1), domino (X2), tụ 1000 µF ở VIN mỗi ESP32, bó dây cắm test board</t>
        </is>
      </c>
      <c r="E13" s="8" t="inlineStr">
        <is>
          <t>Tụ 1000 µF thêm 17/10, chưa có trên bản vẽ A.2</t>
        </is>
      </c>
    </row>
    <row r="14">
      <c r="A14" s="7" t="inlineStr">
        <is>
          <t>B. Nút chấp hành ×2</t>
        </is>
      </c>
      <c r="B14" s="8" t="inlineStr">
        <is>
          <t>GPIO → breadboard → cáp lên trụ</t>
        </is>
      </c>
      <c r="C14" s="8" t="n"/>
      <c r="D14" s="19" t="inlineStr">
        <is>
          <t>CAT5e lõi đặc 3 m (W1, W2 cắt 1,0 m mỗi sợi) (chưa mua)</t>
        </is>
      </c>
      <c r="E14" s="8" t="n"/>
    </row>
    <row r="15">
      <c r="A15" s="7" t="inlineStr">
        <is>
          <t>B. Nút chấp hành ×2</t>
        </is>
      </c>
      <c r="B15" s="8" t="inlineStr">
        <is>
          <t>Rẽ nhánh ở đầu cần: mỗi lõi hàn ra 2 đầu dupont cái</t>
        </is>
      </c>
      <c r="C15" s="18" t="inlineStr">
        <is>
          <t>Dây dupont 20 cm F-F, M-F (cắt đôi lấy đầu cái)</t>
        </is>
      </c>
      <c r="D15" s="19" t="inlineStr">
        <is>
          <t>Ống co nhiệt 3 mm; mỏ hàn (nếu chưa có)</t>
        </is>
      </c>
      <c r="E15" s="8" t="inlineStr">
        <is>
          <t>Cần 32 đầu cái cho 2 nút; 2 bộ 40 sợi đã có là đủ</t>
        </is>
      </c>
    </row>
    <row r="16">
      <c r="A16" s="7" t="inlineStr">
        <is>
          <t>B. Nút chấp hành ×2</t>
        </is>
      </c>
      <c r="B16" s="8" t="inlineStr">
        <is>
          <t>Cụm đèn 4 mặt</t>
        </is>
      </c>
      <c r="C16" s="8" t="n"/>
      <c r="D16" s="19" t="inlineStr">
        <is>
          <t>Module đèn ×10; lõi cụm = nhôm 20 × 20 dài 10 cm; ke treo dưới cần; băng keo 2 mặt / keo nến</t>
        </is>
      </c>
      <c r="E16" s="8" t="n"/>
    </row>
    <row r="17">
      <c r="A17" s="7" t="inlineStr">
        <is>
          <t>B. Nút chấp hành ×2</t>
        </is>
      </c>
      <c r="B17" s="8" t="inlineStr">
        <is>
          <t>Safe-stop GPIO 4 ↔ GND</t>
        </is>
      </c>
      <c r="C17" s="18" t="inlineStr">
        <is>
          <t>Dây dupont M-M</t>
        </is>
      </c>
      <c r="D17" s="19" t="inlineStr">
        <is>
          <t>Nút nhấn tự giữ 8 × 8 mm ×3</t>
        </is>
      </c>
      <c r="E17" s="8" t="n"/>
    </row>
    <row r="18">
      <c r="A18" s="7" t="inlineStr">
        <is>
          <t>B. Nút chấp hành ×2</t>
        </is>
      </c>
      <c r="B18" s="8" t="inlineStr">
        <is>
          <t>Đo timing độc lập</t>
        </is>
      </c>
      <c r="C18" s="18" t="inlineStr">
        <is>
          <t>Dây dupont M-M (điểm kẹp)</t>
        </is>
      </c>
      <c r="D18" s="19" t="inlineStr">
        <is>
          <t>Logic analyzer; hub USB-C → USB-A (chưa mua)</t>
        </is>
      </c>
      <c r="E18" s="8" t="n"/>
    </row>
    <row r="19">
      <c r="A19" s="7" t="inlineStr">
        <is>
          <t>C. Sa bàn và trụ</t>
        </is>
      </c>
      <c r="B19" s="8" t="inlineStr">
        <is>
          <t>Mặt sa bàn: 1 tấm bạt 1200 × 600 (cuộn được)</t>
        </is>
      </c>
      <c r="C19" s="8" t="n"/>
      <c r="D19" s="19" t="inlineStr">
        <is>
          <t>Bạt Hiflex mờ 1200 × 600 mm ×1 (chưa in)</t>
        </is>
      </c>
      <c r="E19" s="8" t="inlineStr">
        <is>
          <t>File in và phiếu đặt: in_sa_ban/ (từ 18/10, thay tấm A0)</t>
        </is>
      </c>
    </row>
    <row r="20">
      <c r="A20" s="7" t="inlineStr">
        <is>
          <t>C. Sa bàn và trụ</t>
        </is>
      </c>
      <c r="B20" s="8" t="inlineStr">
        <is>
          <t>Đế trụ MDF 6 ly 200 × 200 (cáp W, P3 dán sát mặt bạt)</t>
        </is>
      </c>
      <c r="C20" s="8" t="n"/>
      <c r="D20" s="19" t="inlineStr">
        <is>
          <t>Đế MDF 200 × 200 × 6 mm ×2 (chưa làm)</t>
        </is>
      </c>
      <c r="E20" s="8" t="inlineStr">
        <is>
          <t>Bản vẽ: PHIEU_DAT_IN.pdf trang 2</t>
        </is>
      </c>
    </row>
    <row r="21">
      <c r="A21" s="7" t="inlineStr">
        <is>
          <t>C. Sa bàn và trụ</t>
        </is>
      </c>
      <c r="B21" s="8" t="inlineStr">
        <is>
          <t>Giữ bạt phẳng</t>
        </is>
      </c>
      <c r="C21" s="8" t="n"/>
      <c r="D21" s="19" t="inlineStr">
        <is>
          <t>Băng keo vải 48 mm ×2 cuộn; bàn phẳng, cứng</t>
        </is>
      </c>
      <c r="E21" s="8" t="inlineStr">
        <is>
          <t>Dán 4 góc bạt xuống bàn</t>
        </is>
      </c>
    </row>
    <row r="22">
      <c r="A22" s="7" t="inlineStr">
        <is>
          <t>C. Sa bàn và trụ</t>
        </is>
      </c>
      <c r="B22" s="8" t="inlineStr">
        <is>
          <t>Trụ ×2 (thân + cần đèn)</t>
        </is>
      </c>
      <c r="C22" s="8" t="n"/>
      <c r="D22" s="19" t="inlineStr">
        <is>
          <t>Nhôm 20 × 20: 4 × 20 cm (2 thân + 2 cần) + 2 × 10 cm (lõi cụm đèn); 10 ke; 15 con trượt T; ốc M5 10 mm ×20, M5 20 mm ×5; tán, long đền M5</t>
        </is>
      </c>
      <c r="E22" s="8" t="inlineStr">
        <is>
          <t>Từ 17/10 không còn cần camera, trụ chỉ cao 20 cm</t>
        </is>
      </c>
    </row>
    <row r="23">
      <c r="A23" s="7" t="inlineStr">
        <is>
          <t>C. Sa bàn và trụ</t>
        </is>
      </c>
      <c r="B23" s="8" t="inlineStr">
        <is>
          <t>Lỗ ốc ke chân trụ trên đế MDF</t>
        </is>
      </c>
      <c r="C23" s="8" t="n"/>
      <c r="D23" s="19" t="inlineStr">
        <is>
          <t>Khoan (dụng cụ)</t>
        </is>
      </c>
      <c r="E23" s="8" t="inlineStr">
        <is>
          <t>4 lỗ ốc ke Ø5,5 đội khoan theo ke thật; bu lông đầu chìm để đế nằm sát bạt</t>
        </is>
      </c>
    </row>
    <row r="24">
      <c r="A24" s="7" t="inlineStr">
        <is>
          <t>C. Sa bàn và trụ</t>
        </is>
      </c>
      <c r="B24" s="8" t="inlineStr">
        <is>
          <t>Xe trên sa bàn</t>
        </is>
      </c>
      <c r="C24" s="8" t="n"/>
      <c r="D24" s="19" t="inlineStr">
        <is>
          <t>Xe 1:64 (Nếu cần: trang trí hoặc quay video)</t>
        </is>
      </c>
      <c r="E24" s="8" t="n"/>
    </row>
    <row r="25">
      <c r="A25" s="7" t="inlineStr">
        <is>
          <t>D. Bàn demo</t>
        </is>
      </c>
      <c r="B25" s="8" t="inlineStr">
        <is>
          <t>Điện cho Pi, adapter, laptop, điện thoại</t>
        </is>
      </c>
      <c r="C25" s="8" t="n"/>
      <c r="D25" s="19" t="inlineStr">
        <is>
          <t>Ổ cắm nối dài ≥ 5 lỗ</t>
        </is>
      </c>
      <c r="E25" s="8" t="n"/>
    </row>
    <row r="26">
      <c r="A26" s="7" t="inlineStr">
        <is>
          <t>D. Bàn demo</t>
        </is>
      </c>
      <c r="B26" s="8" t="inlineStr">
        <is>
          <t>Nhãn cáp (plan yêu cầu)</t>
        </is>
      </c>
      <c r="C26" s="8" t="n"/>
      <c r="D26" s="19" t="inlineStr">
        <is>
          <t>Tờ nhãn decal A4 (in cùng đơn sa bàn)</t>
        </is>
      </c>
      <c r="E26" s="8" t="n"/>
    </row>
    <row r="27">
      <c r="A27" s="7" t="inlineStr">
        <is>
          <t>D. Bàn demo</t>
        </is>
      </c>
      <c r="B27" s="8" t="inlineStr">
        <is>
          <t>Bảng giới thiệu cạnh sa bàn</t>
        </is>
      </c>
      <c r="C27" s="8" t="n"/>
      <c r="D27" s="19" t="inlineStr">
        <is>
          <t>Bảng giới thiệu A3 (Nên có)</t>
        </is>
      </c>
      <c r="E27" s="8" t="n"/>
    </row>
    <row r="28">
      <c r="A28" s="7" t="inlineStr">
        <is>
          <t>E. Đã có nhưng không dùng</t>
        </is>
      </c>
      <c r="B28" s="8" t="inlineStr">
        <is>
          <t>Cảm biến IR ×12, relay ×1, cáp micro HDMI, Camera Module 3</t>
        </is>
      </c>
      <c r="C28" s="18" t="inlineStr">
        <is>
          <t>Đơn Bảo Anh</t>
        </is>
      </c>
      <c r="D28" s="8" t="n"/>
      <c r="E28" s="8" t="inlineStr">
        <is>
          <t>HDMI chỉ để debug Pi khi cần màn hình. Camera chỉ dùng nếu tự quay video.</t>
        </is>
      </c>
    </row>
  </sheetData>
  <mergeCells count="1">
    <mergeCell ref="A2:E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2" customWidth="1" min="1" max="1"/>
    <col width="14" customWidth="1" min="2" max="2"/>
    <col width="18" customWidth="1" min="3" max="3"/>
    <col width="18" customWidth="1" min="4" max="4"/>
  </cols>
  <sheetData>
    <row r="1">
      <c r="A1" s="1" t="inlineStr">
        <is>
          <t>Tổng hợp theo mức ưu tiên</t>
        </is>
      </c>
    </row>
    <row r="2">
      <c r="A2" s="20" t="inlineStr">
        <is>
          <t>Tự cập nhật theo sheet "Cần mua". Thành tiền = SL cần mua × đơn giá.</t>
        </is>
      </c>
    </row>
    <row r="4">
      <c r="A4" s="4" t="inlineStr">
        <is>
          <t>Ưu tiên</t>
        </is>
      </c>
      <c r="B4" s="4" t="inlineStr">
        <is>
          <t>Số món cần mua</t>
        </is>
      </c>
      <c r="C4" s="4" t="inlineStr">
        <is>
          <t>Thành tiền thấp (đ)</t>
        </is>
      </c>
      <c r="D4" s="4" t="inlineStr">
        <is>
          <t>Thành tiền cao (đ)</t>
        </is>
      </c>
    </row>
    <row r="5">
      <c r="A5" s="21" t="inlineStr">
        <is>
          <t>Bắt buộc</t>
        </is>
      </c>
      <c r="B5" s="22">
        <f>COUNTIFS('Cần mua'!$B$6:$B$46,A5,'Cần mua'!$F$6:$F$46,"&gt;0")</f>
        <v/>
      </c>
      <c r="C5" s="23">
        <f>SUMIFS('Cần mua'!$I$6:$I$46,'Cần mua'!$B$6:$B$46,A5)</f>
        <v/>
      </c>
      <c r="D5" s="23">
        <f>SUMIFS('Cần mua'!$J$6:$J$46,'Cần mua'!$B$6:$B$46,A5)</f>
        <v/>
      </c>
    </row>
    <row r="6">
      <c r="A6" s="24" t="inlineStr">
        <is>
          <t>Nên có</t>
        </is>
      </c>
      <c r="B6" s="22">
        <f>COUNTIFS('Cần mua'!$B$6:$B$46,A6,'Cần mua'!$F$6:$F$46,"&gt;0")</f>
        <v/>
      </c>
      <c r="C6" s="23">
        <f>SUMIFS('Cần mua'!$I$6:$I$46,'Cần mua'!$B$6:$B$46,A6)</f>
        <v/>
      </c>
      <c r="D6" s="23">
        <f>SUMIFS('Cần mua'!$J$6:$J$46,'Cần mua'!$B$6:$B$46,A6)</f>
        <v/>
      </c>
    </row>
    <row r="7">
      <c r="A7" s="25" t="inlineStr">
        <is>
          <t>Nếu cần</t>
        </is>
      </c>
      <c r="B7" s="22">
        <f>COUNTIFS('Cần mua'!$B$6:$B$46,A7,'Cần mua'!$F$6:$F$46,"&gt;0")</f>
        <v/>
      </c>
      <c r="C7" s="23">
        <f>SUMIFS('Cần mua'!$I$6:$I$46,'Cần mua'!$B$6:$B$46,A7)</f>
        <v/>
      </c>
      <c r="D7" s="23">
        <f>SUMIFS('Cần mua'!$J$6:$J$46,'Cần mua'!$B$6:$B$46,A7)</f>
        <v/>
      </c>
    </row>
    <row r="8">
      <c r="A8" s="16" t="inlineStr">
        <is>
          <t>Bắt buộc + Nên có</t>
        </is>
      </c>
      <c r="B8" s="26">
        <f>SUM(B5:B6)</f>
        <v/>
      </c>
      <c r="C8" s="27">
        <f>SUM(C5:C6)</f>
        <v/>
      </c>
      <c r="D8" s="27">
        <f>SUM(D5:D6)</f>
        <v/>
      </c>
    </row>
    <row r="9">
      <c r="A9" s="16" t="inlineStr">
        <is>
          <t>Tất cả</t>
        </is>
      </c>
      <c r="B9" s="26">
        <f>SUM(B5:B7)</f>
        <v/>
      </c>
      <c r="C9" s="27">
        <f>SUM(C5:C7)</f>
        <v/>
      </c>
      <c r="D9" s="27">
        <f>SUM(D5:D7)</f>
        <v/>
      </c>
    </row>
    <row r="11">
      <c r="A11" s="4" t="inlineStr">
        <is>
          <t>Đặt hàng</t>
        </is>
      </c>
      <c r="B11" s="4" t="inlineStr">
        <is>
          <t>Số dòng</t>
        </is>
      </c>
      <c r="C11" s="4" t="inlineStr">
        <is>
          <t>Thành tiền thấp (đ)</t>
        </is>
      </c>
      <c r="D11" s="4" t="inlineStr">
        <is>
          <t>Thành tiền cao (đ)</t>
        </is>
      </c>
    </row>
    <row r="12">
      <c r="A12" s="28" t="inlineStr">
        <is>
          <t>Đã lên đơn web</t>
        </is>
      </c>
      <c r="B12" s="22">
        <f>COUNTIFS('Cần mua'!$N$6:$N$46,A12,'Cần mua'!$F$6:$F$46,"&gt;0")</f>
        <v/>
      </c>
      <c r="C12" s="23">
        <f>SUMIFS('Cần mua'!$I$6:$I$46,'Cần mua'!$N$6:$N$46,A12)</f>
        <v/>
      </c>
      <c r="D12" s="23">
        <f>SUMIFS('Cần mua'!$J$6:$J$46,'Cần mua'!$N$6:$N$46,A12)</f>
        <v/>
      </c>
    </row>
    <row r="13">
      <c r="A13" s="28" t="inlineStr">
        <is>
          <t>Chưa đặt</t>
        </is>
      </c>
      <c r="B13" s="22">
        <f>COUNTIFS('Cần mua'!$N$6:$N$46,A13,'Cần mua'!$F$6:$F$46,"&gt;0")</f>
        <v/>
      </c>
      <c r="C13" s="23">
        <f>SUMIFS('Cần mua'!$I$6:$I$46,'Cần mua'!$N$6:$N$46,A13)</f>
        <v/>
      </c>
      <c r="D13" s="23">
        <f>SUMIFS('Cần mua'!$J$6:$J$46,'Cần mua'!$N$6:$N$46,A13)</f>
        <v/>
      </c>
    </row>
    <row r="14">
      <c r="A14" s="20" t="inlineStr">
        <is>
          <t>Dòng "Đã lên đơn web" phải bằng tổng giỏ icdayroi.com: 730.900đ (17/10, chưa gồm ship).</t>
        </is>
      </c>
    </row>
    <row r="16" ht="42" customHeight="1">
      <c r="A16" s="3" t="inlineStr">
        <is>
          <t>Tham khảo: plan (2) đề xuất trần ngân sách 8,5 triệu cho cả dự án (tính cả đồ đã mua trước, như Pi 5 và ESP32). BTC hỗ trợ 2 triệu nếu có sản phẩm trình bày tại bán kết: giữ hóa đơn.</t>
        </is>
      </c>
    </row>
  </sheetData>
  <mergeCells count="1">
    <mergeCell ref="A16:D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29" t="inlineStr">
        <is>
          <t>Cập nhật 18/10 (chiều): sa bàn 1 tấm bạt</t>
        </is>
      </c>
    </row>
    <row r="2">
      <c r="A2" s="3" t="inlineStr">
        <is>
          <t>• Đội in 1 tấm bạt 1200 × 600 mm cuộn được (thay 2 tấm fomex 600 × 600 + 2 khay), vì quan trọng nhất là mô hình chạy và điều khiển đèn chuẩn xác. Bạt trải lên bàn phẳng; mỗi trụ đứng trên 1 đế MDF 6 ly 200 × 200. Mặt đường, trụ, cụm đèn giữ như bo_tri.py; ESP32 + breadboard và Pi đặt thẳng trên bạt.</t>
        </is>
      </c>
    </row>
    <row r="3">
      <c r="A3" s="3" t="inlineStr">
        <is>
          <t>• File mang ra tiệm nằm ở in_sa_ban/: phiếu đặt + bản vẽ đế trụ (PHIEU_DAT_IN.pdf), 1 file mặt bạt 1:1 (1240 × 640 mm gồm tràn lề), tờ nhãn A4, bảng giới thiệu A3. Phiếu trang 3: kiểm khớp từng thiết bị (14/14 đạt), chiều dài cáp, cách lắp và chở.</t>
        </is>
      </c>
    </row>
    <row r="4">
      <c r="A4" s="3" t="inlineStr">
        <is>
          <t>• Không còn lỗ luồn dây: cáp W và dây P3 dán băng keo vải sát mặt bạt. Trụ không bắt xuống bàn nên phải lắc thử; nếu lung lay thì dằn thêm lên đế.</t>
        </is>
      </c>
    </row>
    <row r="5">
      <c r="A5" s="3" t="inlineStr">
        <is>
          <t>• Giá bạt, đế MDF, nhãn, bảng A3 là ước tính 18/10, phải hỏi tiệm. Đã bỏ khỏi danh sách: 2 tấm decal bồi fomex, 2 khay đế, kẹp bướm.</t>
        </is>
      </c>
    </row>
    <row r="6">
      <c r="A6" s="3" t="inlineStr">
        <is>
          <t>• Hình 3D và bản vẽ báo cáo (H4.x, Phụ lục A) vẫn vẽ tấm A0, chưa sửa. Khi dựng lại thì giữ camera trên trụ để minh họa hệ thống; bản in chỉ là mặt sa bàn để lắp linh kiện thật.</t>
        </is>
      </c>
    </row>
    <row r="8">
      <c r="A8" s="29" t="inlineStr">
        <is>
          <t>Cập nhật 17/10</t>
        </is>
      </c>
    </row>
    <row r="9">
      <c r="A9" s="3" t="inlineStr">
        <is>
          <t>• Đã lên đơn (bỏ vào giỏ) trên icdayroi.com: 21 dòng đầu sheet "Cần mua", tổng 730.900đ, chưa gồm phí ship, CHƯA thanh toán. Cột Đặt hàng = "Đã lên đơn web". ĐVT, SL và giá của các dòng này khớp đúng giỏ.</t>
        </is>
      </c>
    </row>
    <row r="10">
      <c r="A10" s="3" t="inlineStr">
        <is>
          <t>• Đổi thiết kế (Hiển 17/10): demo đưa file video vào Pi thay camera thật. Đã bỏ khỏi giỏ: đồ gắn camera (ốc M2, tán M2, tấm PCB đế) và 2 thanh nhôm 50 cm. Trụ còn 20 cm vì cần đèn ở 160 mm (bo_tri.py). Cáp camera, xe 1:64 và đèn chiếu xuống mức Nếu cần.</t>
        </is>
      </c>
    </row>
    <row r="11">
      <c r="A11" s="3" t="inlineStr">
        <is>
          <t>• Không phải cưa nhôm: shop chỉ bán thanh cắt sẵn (10–60 cm). Cần đèn dài 141 mm theo thiết kế thì trượt ke dọc rãnh; lõi cụm đèn dùng thanh 10 cm (thiết kế 40 mm).</t>
        </is>
      </c>
    </row>
    <row r="12">
      <c r="A12" s="3" t="inlineStr">
        <is>
          <t>• Thêm để chạy ổn định: tụ 1000 µF ở VIN mỗi ESP32, bó dây cắm test board.</t>
        </is>
      </c>
    </row>
    <row r="13">
      <c r="A13" s="3" t="inlineStr">
        <is>
          <t>• Đã tìm nhưng chưa có nơi bán trên web: CAT5e lõi đặc theo mét (icdayroi chỉ có dây bấm sẵn 26 AWG, lõi bện), hub USB-C (icdayroi, HSHOP không có), băng keo 2 mặt, nhãn cáp. Shopee bắt đăng nhập nên chưa tìm được ở đó. Foam + decal và hộp đế làm ở tiệm quảng cáo.</t>
        </is>
      </c>
    </row>
    <row r="15">
      <c r="A15" s="29" t="inlineStr">
        <is>
          <t>Đã có, đã bỏ khỏi danh sách (16/10)</t>
        </is>
      </c>
    </row>
    <row r="16">
      <c r="A16" s="3" t="inlineStr">
        <is>
          <t>• Raspberry Pi 5 (4 GB) và nguồn cho Pi.</t>
        </is>
      </c>
    </row>
    <row r="17">
      <c r="A17" s="3" t="inlineStr">
        <is>
          <t>• Đơn Bảo Anh 19/09 đã về đủ: Camera Module 3 Wide ×1, thẻ microSD 64 GB, vỏ ABS, tản nhiệt + quạt, cáp micro HDMI, adapter 5 V/4 A, breadboard ×1, dây dupont 20 cm ×3 bộ (M-M, M-F, F-F), cảm biến IR LM393 ×12, relay 1 kênh ×1.</t>
        </is>
      </c>
    </row>
    <row r="18">
      <c r="A18" s="3" t="inlineStr">
        <is>
          <t>• ESP32 NodeMCU-32S: đã nạp firmware J1/J2. Giả định đơn HSHOP 3 con đã về đủ; nếu chỉ có 2 thì mua thêm 1 con dự phòng (~175k).</t>
        </is>
      </c>
    </row>
    <row r="20">
      <c r="A20" s="29" t="inlineStr">
        <is>
          <t>Không mua (đội quyết 16/10 và 17/10)</t>
        </is>
      </c>
    </row>
    <row r="21">
      <c r="A21" s="3" t="inlineStr">
        <is>
          <t>• Camera thứ 2: chỉ dùng 1 camera (16/10). Từ 17/10 demo không dùng camera nào.</t>
        </is>
      </c>
    </row>
    <row r="22">
      <c r="A22" s="3" t="inlineStr">
        <is>
          <t>• Router riêng: dùng Wi-Fi sẵn có. Cáp LAN Pi ↔ router bỏ theo.</t>
        </is>
      </c>
    </row>
    <row r="23">
      <c r="A23" s="3" t="inlineStr">
        <is>
          <t>• IR LM393 và relay đã có trong đơn Bảo Anh nhưng thiết kế không dùng (repo không có code đọc IR; firmware không dùng relay).</t>
        </is>
      </c>
    </row>
    <row r="25">
      <c r="A25" s="29" t="inlineStr">
        <is>
          <t>Cần cả đội lưu ý</t>
        </is>
      </c>
    </row>
    <row r="26">
      <c r="A26" s="3" t="inlineStr">
        <is>
          <t>• Video thay camera: báo cáo và thuyết trình phải nói rõ đầu vào thị giác là video phát lại. Xe trong video không phản ứng với đèn, nên demo cho thấy đường dữ liệu và timing an toàn nhưng không cho thấy hàng đợi giảm nhờ điều khiển; hiệu quả điều khiển vẫn lấy từ SUMO. Bảng 3.1 và Phụ lục A đang vẽ camera và cáp CSI: phải sửa.</t>
        </is>
      </c>
    </row>
    <row r="27">
      <c r="A27" s="3" t="inlineStr">
        <is>
          <t>• FileVideoSource (services/vision/video_source.py) không đổi cỡ khung và đọc 1 khung mỗi vòng lặp, giới hạn bởi VISION_FPS: video phải đúng cỡ khung đã vẽ ROI (ví dụ 1280×720), và sẽ chạy theo tỉ lệ VISION_FPS / FPS của video (video 30 FPS, VISION_FPS 10 thì chậm 3 lần). Quay hoặc xuất video đúng cỡ và đúng FPS xử lý, hoặc thêm bỏ khung theo thời gian.</t>
        </is>
      </c>
    </row>
    <row r="28">
      <c r="A28" s="3" t="inlineStr">
        <is>
          <t>• Wi-Fi dùng chung phải có băng 2.4 GHz, WPA2 và tắt AP/client isolation (ESP32 không bắt 5 GHz). Đặt DHCP reservation cho laptop chạy broker.</t>
        </is>
      </c>
    </row>
    <row r="29">
      <c r="A29" s="3" t="inlineStr">
        <is>
          <t>• Ở hội trường bán kết không có Wi-Fi nhà: chuẩn bị một mạng 2.4 GHz khác (ví dụ hotspot điện thoại) và thử trước với cả Pi, laptop, 2 ESP32. Đặt hotspot trùng SSID/mật khẩu với secrets.ini thì không phải nạp lại ESP32; IP broker (laptop) đổi theo mạng nên vẫn phải kiểm.</t>
        </is>
      </c>
    </row>
    <row r="30">
      <c r="A30" s="3" t="inlineStr">
        <is>
          <t>• Adapter 5 V đầu tròn không cắm được Pi 5. Rút nguồn 5 V ngoài khi đang cắm USB nạp firmware.</t>
        </is>
      </c>
    </row>
    <row r="32">
      <c r="A32" s="29" t="inlineStr">
        <is>
          <t>Nguồn số liệu</t>
        </is>
      </c>
    </row>
    <row r="33">
      <c r="A33" s="3" t="inlineStr">
        <is>
          <t>• Giỏ hàng icdayroi.com ngày 17/10 (đọc lại từ /cart.js sau khi thêm): tên sản phẩm, giá, số lượng.</t>
        </is>
      </c>
    </row>
    <row r="34">
      <c r="A34" s="3" t="inlineStr">
        <is>
          <t>• MUA_SAM_CON_THIEU_2026-10-16.xlsx: danh sách 16/10, ước tính giá các món chưa đặt.</t>
        </is>
      </c>
    </row>
    <row r="35">
      <c r="A35" s="3" t="inlineStr">
        <is>
          <t>• thiet_ke_bao_cao/4.4_hinh_minh_hoa/blender/bo_tri.py: cần đèn ở 160 mm, tâm cụm đèn 112 mm, trụ cách tâm ngã tư 100 mm mỗi trục.</t>
        </is>
      </c>
    </row>
    <row r="36">
      <c r="A36" s="3" t="inlineStr">
        <is>
          <t>• thiet_ke_bao_cao/3.4_linh_kien/bang_linh_kien.csv và Phụ lục A (11/10): số lượng, cách đi dây.</t>
        </is>
      </c>
    </row>
    <row r="37">
      <c r="A37" s="3" t="inlineStr">
        <is>
          <t>• Trả lời của Hiển 16/10 (đồ đã có) và 17/10 (demo dùng video thay camera).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2026-10-18T09:17:22Z</dcterms:created>
  <dcterms:modified xmlns:dcterms="http://purl.org/dc/terms/" xmlns:xsi="http://www.w3.org/2001/XMLSchema-instance" xsi:type="dcterms:W3CDTF">2026-10-20T12:41:01Z</dcterms:modified>
</cp:coreProperties>
</file>